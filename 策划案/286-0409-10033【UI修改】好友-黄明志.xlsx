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4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F55F620F4C674E45899B07D91D1010E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17080" y="48444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B2BF4C4FA7EC420184DE405949CB7D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706205" y="45015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F183F780F0B74198870C7C5665B9A9B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14147800"/>
          <a:ext cx="1028700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CAB9C4248D624BE29BA362D569706F6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1676400"/>
          <a:ext cx="9152890" cy="50920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EF54185EA5534E348AADBB91B8D343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2476500"/>
          <a:ext cx="5581650" cy="3448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E43269FDCFA14100B822375AC3AF12D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3276600"/>
          <a:ext cx="5229225" cy="2752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9F6A2C29253443ABAB160884CA751F7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01050" y="14462125"/>
          <a:ext cx="352425" cy="3238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<sst xmlns="http://schemas.openxmlformats.org/spreadsheetml/2006/main" count="166" uniqueCount="98">
  <si>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</si>
  <si>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</si>
  <si>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</si>
  <si>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</si>
  <si>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</si>
  <si>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</si>
  <si>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</si>
  <si>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黄明志</t>
  </si>
  <si>
    <t>邮箱</t>
  </si>
  <si>
    <t>设计目的</t>
  </si>
  <si>
    <t>1、</t>
  </si>
  <si>
    <t>游戏基本功能，搭建游戏基本社交环境。</t>
  </si>
  <si>
    <t>与其他系统的关联性</t>
  </si>
  <si>
    <t>基础功能。</t>
  </si>
  <si>
    <t>功能规则</t>
  </si>
  <si>
    <t>好友列表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</si>
  <si>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</si>
  <si>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</si>
  <si>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</si>
  <si>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</si>
  <si>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</si>
  <si>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</si>
  <si>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</si>
  <si>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</si>
  <si>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页签按钮</t>
  </si>
  <si>
    <t>共有两个按钮，按钮需要有按下效果。</t>
  </si>
  <si>
    <t>点击切换页签。</t>
  </si>
  <si>
    <t>4、</t>
  </si>
  <si>
    <t>显示信息</t>
  </si>
  <si>
    <t>显示每个角色的对应信息。</t>
  </si>
  <si>
    <t>5、</t>
  </si>
  <si>
    <t>名字信息</t>
  </si>
  <si>
    <t>显示角色对应的头像及操作按钮。</t>
  </si>
  <si>
    <t>操作按钮点击会弹出二级操作界面。</t>
  </si>
  <si>
    <t>二级操作界面上共有六个按钮，按钮会分为两个状态。</t>
  </si>
  <si>
    <t>六个按钮分别有对应功能，且会根据对应功能限制等条件判断按钮展示逻辑。</t>
  </si>
  <si>
    <t>移除好友：点击后弹出二级确认界面，确认后该角色从好友列表中移除。（此时客户端应刷新界面）</t>
  </si>
  <si>
    <t>加黑名单：点击后弹出二级确认界面，确认后该角色从好友列表中移除并添加至黑名单列表。</t>
  </si>
  <si>
    <t>黑名单：黑名单逻辑将在后方写清。</t>
  </si>
  <si>
    <t>私聊：点击后跳转到聊天界面，将在后方写出。</t>
  </si>
  <si>
    <t>若对应玩家为离线状态则无法发送私聊，按钮则置灰处理。</t>
  </si>
  <si>
    <t>邀请：点击后向对方玩家发出组队邀请，与组队同理。</t>
  </si>
  <si>
    <t>若当前玩家队伍已满则按钮置灰，点击并返还“当前队伍成员已满”提示。</t>
  </si>
  <si>
    <t>邀请行会：点击后向对方玩家发出行会邀请，与邀请加入行会同理。</t>
  </si>
  <si>
    <t>若当前玩家无邀请成员权限则该按钮置灰，点击并返还“您当前权限不足”提示。</t>
  </si>
  <si>
    <t>查看：点击后查看对方角色信息。</t>
  </si>
  <si>
    <t>在线状态：若玩家在线，则状态显示为“在线”若使用文字标记则显示为“安全色”；若玩家离线，使用字色标记则显示为灰色。</t>
  </si>
  <si>
    <t>6、</t>
  </si>
  <si>
    <t>好友信息</t>
  </si>
  <si>
    <t>显示好友列表的数量信息，显示格式为：在线数量/总好友数量。</t>
  </si>
  <si>
    <t>在线数量字色需要为“安全色”</t>
  </si>
  <si>
    <t>7、</t>
  </si>
  <si>
    <t>自动同意</t>
  </si>
  <si>
    <t>与组队邀请同理。</t>
  </si>
  <si>
    <t>8、</t>
  </si>
  <si>
    <t>申请列表</t>
  </si>
  <si>
    <t>点击后弹出申请列表界面。</t>
  </si>
  <si>
    <t>9、</t>
  </si>
  <si>
    <t>添加好友</t>
  </si>
  <si>
    <t>点击后弹出添加好友界面。</t>
  </si>
  <si>
    <t>黑名单列表</t>
  </si>
  <si>
    <t>与好友界面相差不大，只阐述区别部分，</t>
  </si>
  <si>
    <t>玩家名字信息</t>
  </si>
  <si>
    <t>只显示玩家头像与对应姓名，不显示操作面板。</t>
  </si>
  <si>
    <t>信息栏</t>
  </si>
  <si>
    <t>最右侧改变为操作栏，只显示“移出”按钮。</t>
  </si>
  <si>
    <t>点击后将对应玩家移出黑名单并刷新列表。</t>
  </si>
  <si>
    <t>界面底部</t>
  </si>
  <si>
    <t>界面底部不显示任何信息及任何功能按钮。</t>
  </si>
  <si>
    <t>黑名单权限逻辑。</t>
  </si>
  <si>
    <t>被拉黑玩家无法向玩家发送消息及任何邀请。</t>
  </si>
  <si>
    <t>添加好友界面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</si>
  <si>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</si>
  <si>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</si>
  <si>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</si>
  <si>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</si>
  <si>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</si>
  <si>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</si>
  <si>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</si>
  <si>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</si>
  <si>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</si>
  <si>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</si>
  <si>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</si>
  <si>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好友界面</t>
  </si>
  <si>
    <t>申请列表界面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</si>
  <si>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</si>
  <si>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</si>
  <si>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</si>
  <si>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</si>
  <si>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</si>
  <si>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</si>
  <si>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</si>
  <si>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</si>
  <si>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</si>
  <si>
    <t>社交入口</t>
  </si>
  <si>
    <t>主界面的社交入口</t>
  </si>
  <si>
    <t>界面入口</t>
  </si>
  <si>
    <t>好友邀请闪动按钮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</si>
</sst>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11.png"/><Relationship Id="rId6" Type="http://schemas.openxmlformats.org/officeDocument/2006/relationships/image" Target="media/image10.png"/><Relationship Id="rId5" Type="http://schemas.openxmlformats.org/officeDocument/2006/relationships/image" Target="media/image3.png"/><Relationship Id="rId4" Type="http://schemas.openxmlformats.org/officeDocument/2006/relationships/image" Target="media/image2.png"/><Relationship Id="rId3" Type="http://schemas.openxmlformats.org/officeDocument/2006/relationships/image" Target="media/image9.png"/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673100</xdr:colOff>
      <xdr:row>43</xdr:row>
      <xdr:rowOff>177800</xdr:rowOff>
    </xdr:from>
    <xdr:to>
      <xdr:col>14</xdr:col>
      <xdr:colOff>356235</xdr:colOff>
      <xdr:row>68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0" y="9512300"/>
          <a:ext cx="944880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130810</xdr:rowOff>
    </xdr:from>
    <xdr:to>
      <xdr:col>14</xdr:col>
      <xdr:colOff>139700</xdr:colOff>
      <xdr:row>29</xdr:row>
      <xdr:rowOff>193675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2475" y="1426210"/>
          <a:ext cx="9152890" cy="5092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247650</xdr:colOff>
      <xdr:row>2</xdr:row>
      <xdr:rowOff>219710</xdr:rowOff>
    </xdr:from>
    <xdr:to>
      <xdr:col>12</xdr:col>
      <xdr:colOff>628650</xdr:colOff>
      <xdr:row>4</xdr:row>
      <xdr:rowOff>10160</xdr:rowOff>
    </xdr:to>
    <xdr:sp>
      <xdr:nvSpPr>
        <xdr:cNvPr id="4" name="线形标注 1(无边框) 3"/>
        <xdr:cNvSpPr/>
      </xdr:nvSpPr>
      <xdr:spPr>
        <a:xfrm>
          <a:off x="8641715" y="81026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293370</xdr:colOff>
      <xdr:row>2</xdr:row>
      <xdr:rowOff>231140</xdr:rowOff>
    </xdr:from>
    <xdr:to>
      <xdr:col>1</xdr:col>
      <xdr:colOff>674370</xdr:colOff>
      <xdr:row>4</xdr:row>
      <xdr:rowOff>21590</xdr:rowOff>
    </xdr:to>
    <xdr:sp>
      <xdr:nvSpPr>
        <xdr:cNvPr id="7" name="线形标注 1(无边框) 6"/>
        <xdr:cNvSpPr/>
      </xdr:nvSpPr>
      <xdr:spPr>
        <a:xfrm>
          <a:off x="979170" y="82169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374015</xdr:colOff>
      <xdr:row>7</xdr:row>
      <xdr:rowOff>13335</xdr:rowOff>
    </xdr:from>
    <xdr:to>
      <xdr:col>1</xdr:col>
      <xdr:colOff>69215</xdr:colOff>
      <xdr:row>8</xdr:row>
      <xdr:rowOff>89535</xdr:rowOff>
    </xdr:to>
    <xdr:sp>
      <xdr:nvSpPr>
        <xdr:cNvPr id="8" name="线形标注 1(无边框) 7"/>
        <xdr:cNvSpPr/>
      </xdr:nvSpPr>
      <xdr:spPr>
        <a:xfrm>
          <a:off x="374015" y="17278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396875</xdr:colOff>
      <xdr:row>25</xdr:row>
      <xdr:rowOff>10160</xdr:rowOff>
    </xdr:from>
    <xdr:to>
      <xdr:col>6</xdr:col>
      <xdr:colOff>92075</xdr:colOff>
      <xdr:row>26</xdr:row>
      <xdr:rowOff>86360</xdr:rowOff>
    </xdr:to>
    <xdr:sp>
      <xdr:nvSpPr>
        <xdr:cNvPr id="13" name="线形标注 1(无边框) 12"/>
        <xdr:cNvSpPr/>
      </xdr:nvSpPr>
      <xdr:spPr>
        <a:xfrm>
          <a:off x="3990340" y="549656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196215</xdr:colOff>
      <xdr:row>23</xdr:row>
      <xdr:rowOff>182245</xdr:rowOff>
    </xdr:from>
    <xdr:to>
      <xdr:col>2</xdr:col>
      <xdr:colOff>577215</xdr:colOff>
      <xdr:row>25</xdr:row>
      <xdr:rowOff>48895</xdr:rowOff>
    </xdr:to>
    <xdr:sp>
      <xdr:nvSpPr>
        <xdr:cNvPr id="14" name="线形标注 1(无边框) 13"/>
        <xdr:cNvSpPr/>
      </xdr:nvSpPr>
      <xdr:spPr>
        <a:xfrm>
          <a:off x="1732280" y="52495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151765</xdr:colOff>
      <xdr:row>5</xdr:row>
      <xdr:rowOff>14605</xdr:rowOff>
    </xdr:from>
    <xdr:to>
      <xdr:col>5</xdr:col>
      <xdr:colOff>532765</xdr:colOff>
      <xdr:row>6</xdr:row>
      <xdr:rowOff>90805</xdr:rowOff>
    </xdr:to>
    <xdr:sp>
      <xdr:nvSpPr>
        <xdr:cNvPr id="17" name="线形标注 1(无边框) 16"/>
        <xdr:cNvSpPr/>
      </xdr:nvSpPr>
      <xdr:spPr>
        <a:xfrm>
          <a:off x="3745230" y="131000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370205</xdr:colOff>
      <xdr:row>44</xdr:row>
      <xdr:rowOff>185420</xdr:rowOff>
    </xdr:from>
    <xdr:to>
      <xdr:col>4</xdr:col>
      <xdr:colOff>65405</xdr:colOff>
      <xdr:row>46</xdr:row>
      <xdr:rowOff>52070</xdr:rowOff>
    </xdr:to>
    <xdr:sp>
      <xdr:nvSpPr>
        <xdr:cNvPr id="21" name="线形标注 1(无边框) 20"/>
        <xdr:cNvSpPr/>
      </xdr:nvSpPr>
      <xdr:spPr>
        <a:xfrm>
          <a:off x="2592070" y="97294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158115</xdr:colOff>
      <xdr:row>45</xdr:row>
      <xdr:rowOff>9525</xdr:rowOff>
    </xdr:from>
    <xdr:to>
      <xdr:col>11</xdr:col>
      <xdr:colOff>539115</xdr:colOff>
      <xdr:row>46</xdr:row>
      <xdr:rowOff>85725</xdr:rowOff>
    </xdr:to>
    <xdr:sp>
      <xdr:nvSpPr>
        <xdr:cNvPr id="22" name="线形标注 1(无边框) 21"/>
        <xdr:cNvSpPr/>
      </xdr:nvSpPr>
      <xdr:spPr>
        <a:xfrm>
          <a:off x="7866380" y="976312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259715</xdr:colOff>
      <xdr:row>59</xdr:row>
      <xdr:rowOff>1270</xdr:rowOff>
    </xdr:from>
    <xdr:to>
      <xdr:col>5</xdr:col>
      <xdr:colOff>640715</xdr:colOff>
      <xdr:row>60</xdr:row>
      <xdr:rowOff>77470</xdr:rowOff>
    </xdr:to>
    <xdr:sp>
      <xdr:nvSpPr>
        <xdr:cNvPr id="25" name="线形标注 1(无边框) 24"/>
        <xdr:cNvSpPr/>
      </xdr:nvSpPr>
      <xdr:spPr>
        <a:xfrm>
          <a:off x="3853180" y="126885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476885</xdr:colOff>
      <xdr:row>8</xdr:row>
      <xdr:rowOff>203835</xdr:rowOff>
    </xdr:from>
    <xdr:to>
      <xdr:col>3</xdr:col>
      <xdr:colOff>172085</xdr:colOff>
      <xdr:row>10</xdr:row>
      <xdr:rowOff>70485</xdr:rowOff>
    </xdr:to>
    <xdr:sp>
      <xdr:nvSpPr>
        <xdr:cNvPr id="11" name="线形标注 1(无边框) 10"/>
        <xdr:cNvSpPr/>
      </xdr:nvSpPr>
      <xdr:spPr>
        <a:xfrm>
          <a:off x="2012950" y="21278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388620</xdr:colOff>
      <xdr:row>24</xdr:row>
      <xdr:rowOff>140970</xdr:rowOff>
    </xdr:from>
    <xdr:to>
      <xdr:col>12</xdr:col>
      <xdr:colOff>83820</xdr:colOff>
      <xdr:row>26</xdr:row>
      <xdr:rowOff>7620</xdr:rowOff>
    </xdr:to>
    <xdr:sp>
      <xdr:nvSpPr>
        <xdr:cNvPr id="15" name="线形标注 1(无边框) 14"/>
        <xdr:cNvSpPr/>
      </xdr:nvSpPr>
      <xdr:spPr>
        <a:xfrm>
          <a:off x="8096885" y="541782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621665</xdr:colOff>
      <xdr:row>24</xdr:row>
      <xdr:rowOff>181610</xdr:rowOff>
    </xdr:from>
    <xdr:to>
      <xdr:col>9</xdr:col>
      <xdr:colOff>316865</xdr:colOff>
      <xdr:row>26</xdr:row>
      <xdr:rowOff>48260</xdr:rowOff>
    </xdr:to>
    <xdr:sp>
      <xdr:nvSpPr>
        <xdr:cNvPr id="19" name="线形标注 1(无边框) 18"/>
        <xdr:cNvSpPr/>
      </xdr:nvSpPr>
      <xdr:spPr>
        <a:xfrm>
          <a:off x="6272530" y="545846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562610</xdr:colOff>
      <xdr:row>71</xdr:row>
      <xdr:rowOff>197485</xdr:rowOff>
    </xdr:from>
    <xdr:to>
      <xdr:col>9</xdr:col>
      <xdr:colOff>493395</xdr:colOff>
      <xdr:row>88</xdr:row>
      <xdr:rowOff>83185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8410" y="15475585"/>
          <a:ext cx="5581650" cy="3448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2</xdr:row>
      <xdr:rowOff>66675</xdr:rowOff>
    </xdr:from>
    <xdr:to>
      <xdr:col>11</xdr:col>
      <xdr:colOff>552450</xdr:colOff>
      <xdr:row>28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619125"/>
          <a:ext cx="7391400" cy="452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333375</xdr:colOff>
      <xdr:row>30</xdr:row>
      <xdr:rowOff>47625</xdr:rowOff>
    </xdr:from>
    <xdr:to>
      <xdr:col>11</xdr:col>
      <xdr:colOff>657225</xdr:colOff>
      <xdr:row>55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9175" y="5400675"/>
          <a:ext cx="7181850" cy="439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381000</xdr:colOff>
      <xdr:row>57</xdr:row>
      <xdr:rowOff>152400</xdr:rowOff>
    </xdr:from>
    <xdr:to>
      <xdr:col>12</xdr:col>
      <xdr:colOff>104775</xdr:colOff>
      <xdr:row>83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800" y="10134600"/>
          <a:ext cx="7267575" cy="441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25" t="s">
        <v>1</v>
      </c>
      <c r="C5" s="26" t="s">
        <v>2</v>
      </c>
      <c r="D5" s="26"/>
    </row>
    <row r="6" spans="2:4">
      <c r="B6" s="27" t="s">
        <v>3</v>
      </c>
      <c r="C6" s="28" t="s">
        <v>4</v>
      </c>
      <c r="D6" s="28" t="s">
        <v>5</v>
      </c>
    </row>
    <row r="7" spans="2:4">
      <c r="B7" s="29">
        <v>45756</v>
      </c>
      <c r="C7" s="30" t="s">
        <v>6</v>
      </c>
      <c r="D7" s="30" t="s">
        <v>7</v>
      </c>
    </row>
    <row r="8" spans="2:4">
      <c r="B8" s="29"/>
      <c r="C8" s="30"/>
      <c r="D8" s="30"/>
    </row>
    <row r="9" spans="2:4">
      <c r="B9" s="29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  <row r="26" spans="2:4">
      <c r="B26" s="31"/>
      <c r="C26" s="30"/>
      <c r="D26" s="30"/>
    </row>
    <row r="27" spans="2:4">
      <c r="B27" s="31"/>
      <c r="C27" s="30"/>
      <c r="D27" s="3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8</v>
      </c>
    </row>
    <row r="3" ht="22.5" spans="2:7">
      <c r="B3" s="13" t="s">
        <v>9</v>
      </c>
      <c r="C3" s="13"/>
      <c r="D3" s="13"/>
      <c r="E3" s="13"/>
      <c r="F3" s="13"/>
      <c r="G3" s="13"/>
    </row>
    <row r="5" spans="2:6">
      <c r="B5" s="16" t="s">
        <v>10</v>
      </c>
      <c r="C5" s="11" t="s">
        <v>11</v>
      </c>
      <c r="D5" s="18"/>
      <c r="E5" s="18"/>
      <c r="F5" s="18"/>
    </row>
    <row r="6" spans="2:6">
      <c r="B6" s="14"/>
      <c r="D6" s="18"/>
      <c r="E6" s="18"/>
      <c r="F6" s="18"/>
    </row>
    <row r="7" spans="2:6">
      <c r="B7" s="14"/>
      <c r="C7" s="18"/>
      <c r="D7" s="18"/>
      <c r="E7" s="18"/>
      <c r="F7" s="18"/>
    </row>
    <row r="9" ht="22.5" spans="2:7">
      <c r="B9" s="20" t="s">
        <v>12</v>
      </c>
      <c r="C9" s="20"/>
      <c r="D9" s="20"/>
      <c r="E9" s="20"/>
      <c r="F9" s="20"/>
      <c r="G9" s="20"/>
    </row>
    <row r="11" spans="2:3">
      <c r="B11" s="21" t="s">
        <v>10</v>
      </c>
      <c r="C11" s="18" t="s">
        <v>13</v>
      </c>
    </row>
    <row r="12" spans="2:3">
      <c r="B12" s="21"/>
      <c r="C12" s="18"/>
    </row>
    <row r="13" spans="2:3">
      <c r="B13" s="18"/>
      <c r="C13" s="18"/>
    </row>
    <row r="14" spans="2:3">
      <c r="B14" s="22"/>
      <c r="C14" s="18"/>
    </row>
    <row r="15" spans="2:3">
      <c r="B15" s="18"/>
      <c r="C15" s="18"/>
    </row>
    <row r="16" spans="2:3">
      <c r="B16" s="22"/>
      <c r="C16" s="18"/>
    </row>
    <row r="17" spans="2:3">
      <c r="B17" s="18"/>
      <c r="C17" s="18"/>
    </row>
    <row r="18" spans="2:3">
      <c r="B18" s="22"/>
      <c r="C18" s="18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6"/>
  <sheetViews>
    <sheetView zoomScale="85" zoomScaleNormal="85" workbookViewId="0">
      <pane xSplit="15" ySplit="1" topLeftCell="P85" activePane="bottomRight" state="frozen"/>
      <selection/>
      <selection pane="topRight"/>
      <selection pane="bottomLeft"/>
      <selection pane="bottomRight" activeCell="B96" sqref="B96:L116"/>
    </sheetView>
  </sheetViews>
  <sheetFormatPr defaultColWidth="9" defaultRowHeight="16.5"/>
  <cols>
    <col min="1" max="1" width="9" style="11"/>
    <col min="2" max="2" width="11.1583333333333" style="11"/>
    <col min="3" max="18" width="9" style="11"/>
    <col min="19" max="19" width="2.05833333333333" style="12" customWidth="1"/>
    <col min="20" max="16384" width="9" style="11"/>
  </cols>
  <sheetData>
    <row r="1" s="8" customFormat="1" ht="30" customHeight="1" spans="1:36">
      <c r="A1" s="8" t="s">
        <v>2</v>
      </c>
      <c r="T1" s="8" t="s">
        <v>14</v>
      </c>
      <c r="U1" s="9"/>
      <c r="AJ1" s="10"/>
    </row>
    <row r="3" ht="22.5" spans="2:22">
      <c r="B3" s="13" t="s">
        <v>15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V3" s="15"/>
    </row>
    <row r="4" spans="21:22">
      <c r="U4" s="16" t="s">
        <v>10</v>
      </c>
      <c r="V4" s="11" t="s">
        <v>16</v>
      </c>
    </row>
    <row r="5" customHeight="1" spans="16:22">
      <c r="P5" s="14"/>
      <c r="U5" s="16" t="s">
        <v>17</v>
      </c>
      <c r="V5" s="11" t="s">
        <v>18</v>
      </c>
    </row>
    <row r="6" customHeight="1" spans="1:2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U6" s="16" t="s">
        <v>19</v>
      </c>
      <c r="V6" s="11" t="s">
        <v>20</v>
      </c>
    </row>
    <row r="7" spans="1:2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U7" s="16" t="s">
        <v>17</v>
      </c>
      <c r="V7" s="11" t="s">
        <v>21</v>
      </c>
    </row>
    <row r="8" spans="1:2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U8" s="16" t="s">
        <v>17</v>
      </c>
      <c r="V8" s="11" t="s">
        <v>22</v>
      </c>
    </row>
    <row r="9" spans="1:2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U9" s="16" t="s">
        <v>23</v>
      </c>
      <c r="V9" s="11" t="s">
        <v>24</v>
      </c>
    </row>
    <row r="10" spans="1:2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U10" s="16" t="s">
        <v>17</v>
      </c>
      <c r="V10" s="11" t="s">
        <v>25</v>
      </c>
    </row>
    <row r="11" spans="1:2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U11" s="16" t="s">
        <v>17</v>
      </c>
      <c r="V11" s="17" t="s">
        <v>26</v>
      </c>
    </row>
    <row r="12" spans="1:2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U12" s="16" t="s">
        <v>27</v>
      </c>
      <c r="V12" s="17" t="s">
        <v>28</v>
      </c>
      <c r="W12" s="16"/>
    </row>
    <row r="13" spans="1:2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U13" s="16" t="s">
        <v>17</v>
      </c>
      <c r="V13" s="11" t="s">
        <v>29</v>
      </c>
      <c r="X13" s="16"/>
    </row>
    <row r="14" spans="1:2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U14" s="16" t="s">
        <v>30</v>
      </c>
      <c r="V14" s="11" t="s">
        <v>31</v>
      </c>
      <c r="W14" s="16"/>
    </row>
    <row r="15" spans="1:2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U15" s="16" t="s">
        <v>17</v>
      </c>
      <c r="V15" s="17" t="s">
        <v>32</v>
      </c>
      <c r="W15" s="16"/>
    </row>
    <row r="16" spans="1:2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U16" s="16" t="s">
        <v>17</v>
      </c>
      <c r="V16" s="17" t="s">
        <v>33</v>
      </c>
      <c r="W16" s="17"/>
    </row>
    <row r="17" spans="1:2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V17" s="16" t="s">
        <v>17</v>
      </c>
      <c r="W17" s="11" t="s">
        <v>34</v>
      </c>
    </row>
    <row r="18" spans="1:24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U18" s="16"/>
      <c r="W18" s="16" t="s">
        <v>17</v>
      </c>
      <c r="X18" s="11" t="s">
        <v>35</v>
      </c>
    </row>
    <row r="19" spans="1:2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U19" s="16"/>
      <c r="V19" s="17"/>
      <c r="W19" s="16" t="s">
        <v>17</v>
      </c>
      <c r="X19" s="11" t="s">
        <v>36</v>
      </c>
    </row>
    <row r="20" spans="1:2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U20" s="16"/>
      <c r="V20" s="16"/>
      <c r="W20" s="16" t="s">
        <v>17</v>
      </c>
      <c r="X20" s="18" t="s">
        <v>37</v>
      </c>
    </row>
    <row r="21" spans="1:3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U21" s="16"/>
      <c r="V21" s="16"/>
      <c r="X21" s="16" t="s">
        <v>17</v>
      </c>
      <c r="Y21" s="11" t="s">
        <v>38</v>
      </c>
      <c r="AD21" s="14" t="str">
        <f>_xlfn.DISPIMG("ID_F55F620F4C674E45899B07D91D1010EB",1)</f>
        <v>=DISPIMG("ID_F55F620F4C674E45899B07D91D1010EB",1)</v>
      </c>
      <c r="AE21" s="14"/>
      <c r="AG21" s="14" t="str">
        <f>_xlfn.DISPIMG("ID_B2BF4C4FA7EC420184DE405949CB7D17",1)</f>
        <v>=DISPIMG("ID_B2BF4C4FA7EC420184DE405949CB7D17",1)</v>
      </c>
      <c r="AH21" s="14"/>
    </row>
    <row r="22" spans="1:3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U22" s="16"/>
      <c r="W22" s="16" t="s">
        <v>17</v>
      </c>
      <c r="X22" s="11" t="s">
        <v>39</v>
      </c>
      <c r="AD22" s="14"/>
      <c r="AE22" s="14"/>
      <c r="AG22" s="14"/>
      <c r="AH22" s="14"/>
    </row>
    <row r="23" spans="1:3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T23" s="16"/>
      <c r="U23" s="16"/>
      <c r="X23" s="16" t="s">
        <v>17</v>
      </c>
      <c r="Y23" s="11" t="s">
        <v>40</v>
      </c>
      <c r="AD23" s="14"/>
      <c r="AE23" s="14"/>
      <c r="AG23" s="14"/>
      <c r="AH23" s="14"/>
    </row>
    <row r="24" spans="1:3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T24" s="16"/>
      <c r="W24" s="16" t="s">
        <v>17</v>
      </c>
      <c r="X24" s="11" t="s">
        <v>41</v>
      </c>
      <c r="AD24" s="14"/>
      <c r="AE24" s="14"/>
      <c r="AG24" s="14"/>
      <c r="AH24" s="14"/>
    </row>
    <row r="25" customHeight="1" spans="1:3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T25" s="16"/>
      <c r="U25" s="16"/>
      <c r="X25" s="16" t="s">
        <v>17</v>
      </c>
      <c r="Y25" s="11" t="s">
        <v>42</v>
      </c>
      <c r="AD25" s="14"/>
      <c r="AE25" s="14"/>
      <c r="AG25" s="14"/>
      <c r="AH25" s="14"/>
    </row>
    <row r="26" spans="1:2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U26" s="16"/>
      <c r="V26" s="17"/>
      <c r="W26" s="16" t="s">
        <v>17</v>
      </c>
      <c r="X26" s="17" t="s">
        <v>43</v>
      </c>
    </row>
    <row r="27" spans="1: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U27" s="16"/>
      <c r="X27" s="16" t="s">
        <v>17</v>
      </c>
      <c r="Y27" s="11" t="s">
        <v>44</v>
      </c>
    </row>
    <row r="28" spans="1:2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T28" s="16"/>
      <c r="V28" s="16"/>
      <c r="W28" s="16" t="s">
        <v>17</v>
      </c>
      <c r="X28" s="11" t="s">
        <v>45</v>
      </c>
    </row>
    <row r="29" spans="1:2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U29" s="16" t="s">
        <v>17</v>
      </c>
      <c r="V29" s="17" t="s">
        <v>46</v>
      </c>
    </row>
    <row r="30" spans="1:2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U30" s="16" t="s">
        <v>47</v>
      </c>
      <c r="V30" s="11" t="s">
        <v>48</v>
      </c>
    </row>
    <row r="31" spans="1:2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U31" s="16" t="s">
        <v>17</v>
      </c>
      <c r="V31" s="11" t="s">
        <v>49</v>
      </c>
    </row>
    <row r="32" spans="1:2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V32" s="16" t="s">
        <v>17</v>
      </c>
      <c r="W32" s="11" t="s">
        <v>50</v>
      </c>
    </row>
    <row r="33" spans="21:22">
      <c r="U33" s="16" t="s">
        <v>51</v>
      </c>
      <c r="V33" s="16" t="s">
        <v>52</v>
      </c>
    </row>
    <row r="34" spans="21:22">
      <c r="U34" s="16" t="s">
        <v>17</v>
      </c>
      <c r="V34" s="17" t="s">
        <v>53</v>
      </c>
    </row>
    <row r="35" spans="21:22">
      <c r="U35" s="16" t="s">
        <v>54</v>
      </c>
      <c r="V35" s="17" t="s">
        <v>55</v>
      </c>
    </row>
    <row r="36" spans="21:22">
      <c r="U36" s="16" t="s">
        <v>17</v>
      </c>
      <c r="V36" s="11" t="s">
        <v>56</v>
      </c>
    </row>
    <row r="37" spans="21:22">
      <c r="U37" s="16" t="s">
        <v>57</v>
      </c>
      <c r="V37" s="11" t="s">
        <v>58</v>
      </c>
    </row>
    <row r="38" spans="21:22">
      <c r="U38" s="16" t="s">
        <v>17</v>
      </c>
      <c r="V38" s="11" t="s">
        <v>59</v>
      </c>
    </row>
    <row r="39" spans="21:22">
      <c r="U39" s="16"/>
      <c r="V39" s="17"/>
    </row>
    <row r="40" ht="22.5" spans="2:13">
      <c r="B40" s="13" t="s">
        <v>60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21:21">
      <c r="U41" s="19" t="s">
        <v>61</v>
      </c>
    </row>
    <row r="42" spans="2:22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U42" s="16" t="s">
        <v>10</v>
      </c>
      <c r="V42" s="11" t="s">
        <v>62</v>
      </c>
    </row>
    <row r="43" spans="2:22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U43" s="16" t="s">
        <v>17</v>
      </c>
      <c r="V43" s="11" t="s">
        <v>63</v>
      </c>
    </row>
    <row r="44" spans="2:22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U44" s="16" t="s">
        <v>19</v>
      </c>
      <c r="V44" s="11" t="s">
        <v>64</v>
      </c>
    </row>
    <row r="45" spans="2:22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U45" s="16" t="s">
        <v>17</v>
      </c>
      <c r="V45" s="11" t="s">
        <v>65</v>
      </c>
    </row>
    <row r="46" spans="2:23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U46" s="16"/>
      <c r="V46" s="16" t="s">
        <v>17</v>
      </c>
      <c r="W46" s="11" t="s">
        <v>66</v>
      </c>
    </row>
    <row r="47" spans="2:22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U47" s="16" t="s">
        <v>23</v>
      </c>
      <c r="V47" s="17" t="s">
        <v>67</v>
      </c>
    </row>
    <row r="48" spans="2:22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U48" s="16" t="s">
        <v>17</v>
      </c>
      <c r="V48" s="17" t="s">
        <v>68</v>
      </c>
    </row>
    <row r="49" spans="2:22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U49" s="16" t="s">
        <v>27</v>
      </c>
      <c r="V49" s="17" t="s">
        <v>69</v>
      </c>
    </row>
    <row r="50" spans="2:22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U50" s="16" t="s">
        <v>17</v>
      </c>
      <c r="V50" s="11" t="s">
        <v>70</v>
      </c>
    </row>
    <row r="51" spans="2:2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U51" s="16"/>
      <c r="V51" s="16"/>
    </row>
    <row r="52" spans="2:2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U52" s="16"/>
      <c r="V52" s="16"/>
    </row>
    <row r="53" spans="2:23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U53" s="16"/>
      <c r="W53" s="16"/>
    </row>
    <row r="54" spans="2:23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U54" s="16"/>
      <c r="V54" s="16"/>
      <c r="W54" s="17"/>
    </row>
    <row r="55" spans="2:23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U55" s="16"/>
      <c r="W55" s="16"/>
    </row>
    <row r="56" spans="2:24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U56" s="16"/>
      <c r="X56" s="16"/>
    </row>
    <row r="57" spans="2:22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V57" s="16"/>
    </row>
    <row r="58" spans="2:23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W58" s="16"/>
    </row>
    <row r="59" spans="2:15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2:1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2:1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2:1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2:1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2:1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2:1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2:1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2:1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2:1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70" ht="22.5" spans="2:13">
      <c r="B70" s="13" t="s">
        <v>55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2" spans="2:12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spans="2:12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spans="2:12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2:12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2:12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2:12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2:12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2:12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spans="2:12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spans="2:12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</row>
    <row r="83" spans="2:12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2:12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2:12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2:12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2:12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2:12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2:12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2:12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2:12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spans="2:12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4" ht="22.5" spans="2:13">
      <c r="B94" s="13" t="s">
        <v>71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6" spans="2:12">
      <c r="B96" s="14" t="str">
        <f>_xlfn.DISPIMG("ID_E43269FDCFA14100B822375AC3AF12D8",1)</f>
        <v>=DISPIMG("ID_E43269FDCFA14100B822375AC3AF12D8",1)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2:12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2:12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</row>
    <row r="99" spans="2:12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</row>
    <row r="100" spans="2:12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</row>
    <row r="101" spans="2:12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 spans="2:12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 spans="2:12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4" spans="2:12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</row>
    <row r="105" spans="2:12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 spans="2:12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</row>
    <row r="107" spans="2:12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</row>
    <row r="108" spans="2:12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</row>
    <row r="109" spans="2:12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2:12"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 spans="2:12"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2:12"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 spans="2:12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2:12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2:12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 spans="2:12"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</sheetData>
  <mergeCells count="10">
    <mergeCell ref="B3:G3"/>
    <mergeCell ref="B40:G40"/>
    <mergeCell ref="B70:G70"/>
    <mergeCell ref="B94:G94"/>
    <mergeCell ref="A6:O32"/>
    <mergeCell ref="AD21:AE25"/>
    <mergeCell ref="AG21:AH25"/>
    <mergeCell ref="B42:O68"/>
    <mergeCell ref="B72:L92"/>
    <mergeCell ref="B96:L1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C66" sqref="C66"/>
    </sheetView>
  </sheetViews>
  <sheetFormatPr defaultColWidth="9" defaultRowHeight="13.5"/>
  <sheetData>
    <row r="1" s="8" customFormat="1" ht="30" customHeight="1" spans="1:36">
      <c r="A1" s="8" t="s">
        <v>72</v>
      </c>
      <c r="U1" s="9"/>
      <c r="AJ1" s="1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topLeftCell="A16" workbookViewId="0">
      <selection activeCell="K21" sqref="K21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73</v>
      </c>
    </row>
    <row r="3" ht="22.5" spans="2:8">
      <c r="B3" s="4" t="s">
        <v>74</v>
      </c>
      <c r="C3" s="4"/>
      <c r="D3" s="4"/>
      <c r="E3" s="4"/>
      <c r="F3" s="4"/>
      <c r="G3" s="4"/>
      <c r="H3" s="4"/>
    </row>
    <row r="4" ht="63" customHeight="1" spans="2:19">
      <c r="B4" s="5" t="s">
        <v>75</v>
      </c>
      <c r="C4" s="5" t="s">
        <v>76</v>
      </c>
      <c r="D4" s="5" t="s">
        <v>77</v>
      </c>
      <c r="E4" s="5" t="s">
        <v>78</v>
      </c>
      <c r="F4" s="6" t="s">
        <v>79</v>
      </c>
      <c r="G4" s="6" t="s">
        <v>80</v>
      </c>
      <c r="H4" s="6" t="s">
        <v>81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82</v>
      </c>
      <c r="D5" s="5" t="s">
        <v>83</v>
      </c>
      <c r="E5" s="5"/>
      <c r="F5" s="5"/>
      <c r="G5" s="6"/>
      <c r="H5" s="6" t="str">
        <f>_xlfn.DISPIMG("ID_CAB9C4248D624BE29BA362D569706F6D",1)</f>
        <v>=DISPIMG("ID_CAB9C4248D624BE29BA362D569706F6D",1)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82</v>
      </c>
      <c r="D6" s="5" t="s">
        <v>84</v>
      </c>
      <c r="E6" s="5"/>
      <c r="F6" s="5"/>
      <c r="G6" s="6"/>
      <c r="H6" s="7" t="str">
        <f>_xlfn.DISPIMG("ID_EF54185EA5534E348AADBB91B8D34326",1)</f>
        <v>=DISPIMG("ID_EF54185EA5534E348AADBB91B8D34326",1)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82</v>
      </c>
      <c r="D7" s="5" t="s">
        <v>71</v>
      </c>
      <c r="E7" s="5"/>
      <c r="F7" s="5"/>
      <c r="G7" s="6"/>
      <c r="H7" s="7" t="str">
        <f>_xlfn.DISPIMG("ID_E43269FDCFA14100B822375AC3AF12D8",1)</f>
        <v>=DISPIMG("ID_E43269FDCFA14100B822375AC3AF12D8",1)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85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75</v>
      </c>
      <c r="C10" s="5" t="s">
        <v>76</v>
      </c>
      <c r="D10" s="5" t="s">
        <v>77</v>
      </c>
      <c r="E10" s="5" t="s">
        <v>78</v>
      </c>
      <c r="F10" s="6" t="s">
        <v>79</v>
      </c>
      <c r="G10" s="6" t="s">
        <v>80</v>
      </c>
      <c r="H10" s="6" t="s">
        <v>81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86</v>
      </c>
      <c r="C11" s="5"/>
      <c r="D11" s="5"/>
      <c r="E11" s="5"/>
      <c r="F11" s="5"/>
      <c r="G11" s="5"/>
      <c r="H11" s="6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87</v>
      </c>
      <c r="C13" s="4"/>
      <c r="D13" s="4"/>
      <c r="E13" s="4"/>
      <c r="F13" s="4"/>
      <c r="G13" s="4"/>
      <c r="H13" s="4"/>
    </row>
    <row r="14" ht="63" customHeight="1" spans="2:19">
      <c r="B14" s="5" t="s">
        <v>75</v>
      </c>
      <c r="C14" s="5" t="s">
        <v>76</v>
      </c>
      <c r="D14" s="5" t="s">
        <v>88</v>
      </c>
      <c r="E14" s="5" t="s">
        <v>78</v>
      </c>
      <c r="F14" s="6" t="s">
        <v>79</v>
      </c>
      <c r="G14" s="6" t="s">
        <v>89</v>
      </c>
      <c r="H14" s="6" t="s">
        <v>81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1</v>
      </c>
      <c r="C15" s="5" t="s">
        <v>90</v>
      </c>
      <c r="D15" s="5"/>
      <c r="E15" s="5"/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73" customHeight="1" spans="2:19">
      <c r="B16" s="5">
        <v>2</v>
      </c>
      <c r="C16" s="5"/>
      <c r="D16" s="5"/>
      <c r="E16" s="5"/>
      <c r="F16" s="5"/>
      <c r="G16" s="5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8">
      <c r="B17" s="5">
        <v>3</v>
      </c>
      <c r="C17" s="5"/>
      <c r="D17" s="5"/>
      <c r="E17" s="5"/>
      <c r="F17" s="5"/>
      <c r="G17" s="5"/>
      <c r="H17" s="5"/>
    </row>
    <row r="18" ht="63" customHeight="1" spans="9:19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4" t="s">
        <v>91</v>
      </c>
      <c r="C19" s="4"/>
      <c r="D19" s="4"/>
      <c r="E19" s="4"/>
      <c r="F19" s="4"/>
      <c r="G19" s="4"/>
      <c r="H19" s="4"/>
    </row>
    <row r="20" s="2" customFormat="1" ht="24" customHeight="1" spans="2:8">
      <c r="B20" s="5" t="s">
        <v>75</v>
      </c>
      <c r="C20" s="5" t="s">
        <v>76</v>
      </c>
      <c r="D20" s="5" t="s">
        <v>92</v>
      </c>
      <c r="E20" s="5" t="s">
        <v>78</v>
      </c>
      <c r="F20" s="6" t="s">
        <v>79</v>
      </c>
      <c r="G20" s="6" t="s">
        <v>80</v>
      </c>
      <c r="H20" s="6" t="s">
        <v>81</v>
      </c>
    </row>
    <row r="21" spans="2:8">
      <c r="B21" s="6">
        <v>1</v>
      </c>
      <c r="C21" s="6"/>
      <c r="D21" s="6"/>
      <c r="E21" s="6"/>
      <c r="F21" s="6"/>
      <c r="G21" s="6"/>
      <c r="H21" s="7"/>
    </row>
    <row r="22" ht="63" customHeight="1" spans="2:1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4" t="s">
        <v>93</v>
      </c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8">
      <c r="B24" s="5" t="s">
        <v>75</v>
      </c>
      <c r="C24" s="5" t="s">
        <v>76</v>
      </c>
      <c r="D24" s="5" t="s">
        <v>77</v>
      </c>
      <c r="E24" s="5" t="s">
        <v>78</v>
      </c>
      <c r="F24" s="6" t="s">
        <v>79</v>
      </c>
      <c r="G24" s="6" t="s">
        <v>80</v>
      </c>
      <c r="H24" s="6" t="s">
        <v>81</v>
      </c>
    </row>
    <row r="25" ht="66" spans="2:8">
      <c r="B25" s="5">
        <v>1</v>
      </c>
      <c r="C25" s="6" t="s">
        <v>94</v>
      </c>
      <c r="D25" s="6" t="s">
        <v>95</v>
      </c>
      <c r="E25" s="6" t="s">
        <v>96</v>
      </c>
      <c r="F25" s="6"/>
      <c r="G25" s="6"/>
      <c r="H25" s="6" t="str">
        <f>_xlfn.DISPIMG("ID_F183F780F0B74198870C7C5665B9A9B3",1)</f>
        <v>=DISPIMG("ID_F183F780F0B74198870C7C5665B9A9B3",1)</v>
      </c>
    </row>
    <row r="26" ht="43" customHeight="1" spans="2:8">
      <c r="B26" s="5">
        <v>2</v>
      </c>
      <c r="C26" s="6" t="s">
        <v>97</v>
      </c>
      <c r="D26" s="6" t="s">
        <v>97</v>
      </c>
      <c r="E26" s="6" t="s">
        <v>96</v>
      </c>
      <c r="F26" s="6"/>
      <c r="G26" s="6"/>
      <c r="H26" s="6" t="str">
        <f>_xlfn.DISPIMG("ID_9F6A2C29253443ABAB160884CA751F77",1)</f>
        <v>=DISPIMG("ID_9F6A2C29253443ABAB160884CA751F77",1)</v>
      </c>
    </row>
  </sheetData>
  <mergeCells count="6">
    <mergeCell ref="A1:S1"/>
    <mergeCell ref="B3:H3"/>
    <mergeCell ref="B9:H9"/>
    <mergeCell ref="B13:H13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2025-04-09T06:17:14Z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