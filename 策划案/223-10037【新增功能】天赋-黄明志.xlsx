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firstSheet="2" activeTab="5"/>
  </bookViews>
  <sheets>
    <sheet name="日志" sheetId="5" r:id="rId1"/>
    <sheet name="设计思路" sheetId="4" r:id="rId2"/>
    <sheet name="界面&amp;功能 " sheetId="6" r:id="rId3"/>
    <sheet name="职业天赋规划" sheetId="10" r:id="rId4"/>
    <sheet name="参考界面" sheetId="3" r:id="rId5"/>
    <sheet name="美术需求" sheetId="9" r:id="rId6"/>
    <sheet name="表格结构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24" name="ID_9E1253F9A943485A82272F31F0291D8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9111595" y="17659350"/>
          <a:ext cx="3076575" cy="21145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5" name="ID_7A6B673C83CA47FBAC549BF825D4386A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0064095" y="19151600"/>
          <a:ext cx="3476625" cy="21907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6" name="ID_C186209E1F7D4AEE9DBBBE51E2737684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1016595" y="19151600"/>
          <a:ext cx="3914775" cy="33623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" name="ID_3F9A17B35A4646D6B5423F2FF9AA1D85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20064095" y="21436330"/>
          <a:ext cx="5981700" cy="38195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" name="ID_D085E41CDC394105B39148E882A32B8C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20264120" y="22893020"/>
          <a:ext cx="6048375" cy="2895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" name="ID_F68D6474502D4389A57A79EAF888963F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23807420" y="25325705"/>
          <a:ext cx="6181725" cy="26479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6" name="ID_3BD827B9C7C741219EC3DE6D419B5C39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23121620" y="25325705"/>
          <a:ext cx="5743575" cy="34290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7" name="ID_1BBFDE223095497AA02EAA24F1F98B90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23121620" y="27372310"/>
          <a:ext cx="6162675" cy="35147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8" name="ID_532E123643654435B8E0781A5CE7D5C3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24074120" y="27372310"/>
          <a:ext cx="3571875" cy="32956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" name="ID_1B6BF64D3F2640068C3B0D641220E2C9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7620000" y="20497800"/>
          <a:ext cx="857250" cy="7905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" name="ID_E3EA1DDE53F245219ACD7BFFACD75982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9896475" y="8334375"/>
          <a:ext cx="790575" cy="781050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<sst xmlns="http://schemas.openxmlformats.org/spreadsheetml/2006/main" count="437" uniqueCount="225">
  <si>
    <t>日志</t>
  </si>
  <si>
    <t>系统名称：</t>
  </si>
  <si>
    <t>天赋</t>
  </si>
  <si>
    <t>修改时间</t>
  </si>
  <si>
    <t>修改内容</t>
  </si>
  <si>
    <t>修改人</t>
  </si>
  <si>
    <t>创建策划案</t>
  </si>
  <si>
    <t>黄明志</t>
  </si>
  <si>
    <t>天赋系统</t>
  </si>
  <si>
    <t>设计目的</t>
  </si>
  <si>
    <t>1.设计目的</t>
  </si>
  <si>
    <r>
      <rPr>
        <sz val="11"/>
        <color theme="1"/>
        <rFont val="宋体"/>
        <charset val="134"/>
      </rPr>
      <t>▶</t>
    </r>
  </si>
  <si>
    <t>增加玩家职业技能特色</t>
  </si>
  <si>
    <t>2.解锁方式</t>
  </si>
  <si>
    <t>根据玩家等级开放</t>
  </si>
  <si>
    <t>功能规则</t>
  </si>
  <si>
    <t>功能入口</t>
  </si>
  <si>
    <t>天赋基本规则</t>
  </si>
  <si>
    <t>1.设计目的是什么</t>
  </si>
  <si>
    <t>1.技能入口子页签</t>
  </si>
  <si>
    <t>提供玩家培养的系统。</t>
  </si>
  <si>
    <t>3.基本规则</t>
  </si>
  <si>
    <t>4.数值节奏</t>
  </si>
  <si>
    <t>天赋主界面【当前为示例】</t>
  </si>
  <si>
    <t>1.功能标题与功能说明</t>
  </si>
  <si>
    <t>▶</t>
  </si>
  <si>
    <t>天赋标题</t>
  </si>
  <si>
    <t>2.关闭按钮</t>
  </si>
  <si>
    <t>点击关闭界面</t>
  </si>
  <si>
    <t>3.背景底图</t>
  </si>
  <si>
    <t>需要有一个合适的底图。</t>
  </si>
  <si>
    <t>4.天赋标题</t>
  </si>
  <si>
    <t>天赋标题文字</t>
  </si>
  <si>
    <t>天赋简要说明文字显示在标题下方</t>
  </si>
  <si>
    <t>5.天赋</t>
  </si>
  <si>
    <t>5.天赋结构图</t>
  </si>
  <si>
    <t>天赋技能</t>
  </si>
  <si>
    <t>需区分职业，每个职业有2个天赋大类型</t>
  </si>
  <si>
    <t>显示天赋技能图标，点击弹出天赋技能tips（在文档下方有单独说明）</t>
  </si>
  <si>
    <t>显示天赋技能图标，右侧的天赋树和天赋介绍归属变化</t>
  </si>
  <si>
    <t>技能图标每个天赋6个图标，需要12个图标</t>
  </si>
  <si>
    <t>每个职业有2个大天赋，每个大天赋有5个天赋技能</t>
  </si>
  <si>
    <t>天赋技能有学习和未学习2种状态，需要有区分</t>
  </si>
  <si>
    <t>共需30个技能图标</t>
  </si>
  <si>
    <t>天赋连接线</t>
  </si>
  <si>
    <t>连接线表现天赋技能的前后置效果</t>
  </si>
  <si>
    <t>显示最终的天赋图标</t>
  </si>
  <si>
    <t>连接线有2种状态：前置技能学习后，连接线显示激活的亮色，未学习时显示灰色</t>
  </si>
  <si>
    <t>激活天赋图标后可获得一个新的技能</t>
  </si>
  <si>
    <t>激活最终天赋后可获得一个新的技能</t>
  </si>
  <si>
    <t>激活新的技能后，技能图标放在主界面，可手动释放</t>
  </si>
  <si>
    <t>需要一个天赋道具框</t>
  </si>
  <si>
    <t>6.天赋结构图</t>
  </si>
  <si>
    <t>显示天赋技能图标</t>
  </si>
  <si>
    <t>具有选中效果</t>
  </si>
  <si>
    <t>选中后，右侧的天赋信息跟随变化</t>
  </si>
  <si>
    <t>7.重置按钮</t>
  </si>
  <si>
    <t>重置天赋按钮，点击重置天赋技能</t>
  </si>
  <si>
    <t>重置天赋需要消耗道具。</t>
  </si>
  <si>
    <t>重置天赋按钮点击后需要弹出二次确认框提示，如果道具不足，提示“XX不足，不能重置！”</t>
  </si>
  <si>
    <t>无标注版</t>
  </si>
  <si>
    <t>重置天赋成功后，返还玩家消耗的所有学习道具。</t>
  </si>
  <si>
    <t>8.天赋详细信息</t>
  </si>
  <si>
    <t>跟随选中的天赋技能变化</t>
  </si>
  <si>
    <t>显示天赋技能图标、天赋名称，等级</t>
  </si>
  <si>
    <t>显示当前技能效果</t>
  </si>
  <si>
    <t>显示学习需要的消耗道具和数量，点击道具图标会弹出道具tips界面。</t>
  </si>
  <si>
    <t>显示学习按钮</t>
  </si>
  <si>
    <t>如果前置技能不满足按钮显示灰色</t>
  </si>
  <si>
    <t>前置条件满足显示绿色</t>
  </si>
  <si>
    <t>前置条件不满足显示另外的颜色</t>
  </si>
  <si>
    <t>9.小提示</t>
  </si>
  <si>
    <t>小提示文本</t>
  </si>
  <si>
    <t>天赋技能具体效果：</t>
  </si>
  <si>
    <t>按照左1，右2，左3，右4，终5</t>
  </si>
  <si>
    <t>战士</t>
  </si>
  <si>
    <t>天赋技能1具体效果</t>
  </si>
  <si>
    <t>天神庇护：防御增加5%</t>
  </si>
  <si>
    <t>生命之源：生命值提升5%</t>
  </si>
  <si>
    <t>全副武装：战士1技能增加基础伤害10%</t>
  </si>
  <si>
    <t>刺耳怒吼：战士的3技能增加基础伤害10%</t>
  </si>
  <si>
    <t>终技：龙影剑法</t>
  </si>
  <si>
    <t>释放这种幻化无数幻影的，对前方敌人造成伤害</t>
  </si>
  <si>
    <t>天赋技能2具体效果</t>
  </si>
  <si>
    <r>
      <rPr>
        <sz val="10.5"/>
        <color rgb="FF181C1F"/>
        <rFont val="宋体"/>
        <charset val="134"/>
      </rPr>
      <t>热血狂暴</t>
    </r>
    <r>
      <rPr>
        <sz val="10.5"/>
        <color rgb="FF181C1F"/>
        <rFont val="Segoe UI"/>
        <charset val="134"/>
      </rPr>
      <t>:</t>
    </r>
    <r>
      <rPr>
        <sz val="10.5"/>
        <color rgb="FF181C1F"/>
        <rFont val="宋体"/>
        <charset val="134"/>
      </rPr>
      <t>增加暴击率10%</t>
    </r>
  </si>
  <si>
    <t>快速打击：增加攻击力10%</t>
  </si>
  <si>
    <t>心灵之怒：战士2技能增加基础伤害10%</t>
  </si>
  <si>
    <t>铁石心胸：战士4技能增加基础伤害10%</t>
  </si>
  <si>
    <t>终技：开天斩</t>
  </si>
  <si>
    <t>凝聚力量的顶点，幻化出一柄巨剑!对前方直线的敌人造成伤害</t>
  </si>
  <si>
    <t>法师</t>
  </si>
  <si>
    <t>气定神闲：生命值提高5%</t>
  </si>
  <si>
    <t>奥术集中：</t>
  </si>
  <si>
    <t>命中提升10%。</t>
  </si>
  <si>
    <t>奥术爆裂：法师1技能增加基础伤害10%</t>
  </si>
  <si>
    <t>炽燃强化：战士的3技能增加基础伤害10%</t>
  </si>
  <si>
    <t>终技：冰霜群雨</t>
  </si>
  <si>
    <t>超大范围杀伤力，对目标范围内的敌人造成大量伤害</t>
  </si>
  <si>
    <t>魔法吸收：防御值增加5%</t>
  </si>
  <si>
    <t>奥术精妙：闪避提升10%。</t>
  </si>
  <si>
    <t>刺骨寒冰：法师2技能冷却时间减少2s</t>
  </si>
  <si>
    <t>寒冰碎片：法师4技能冷却时间减少2s</t>
  </si>
  <si>
    <t>终技：火龙烈焰</t>
  </si>
  <si>
    <t>召唤出可以熔化天日的火龙气焰，对范围内的敌人造成大量伤害</t>
  </si>
  <si>
    <t>道士</t>
  </si>
  <si>
    <t>龙之护鳞：伤害减免提升5%。</t>
  </si>
  <si>
    <t>英灵守护：防御提升5%。</t>
  </si>
  <si>
    <t>近战反弹：道士1技能基础伤害提升10%</t>
  </si>
  <si>
    <t>矢志破敌：道士3技能基础伤害提升10%</t>
  </si>
  <si>
    <t>重修二次确认框</t>
  </si>
  <si>
    <t>终技：飓风破</t>
  </si>
  <si>
    <t>飓风从低地盘旋升起，强大的气旋一下子就释放出巨大的能量,能造成范围内的所有敌人受到致命的伤害</t>
  </si>
  <si>
    <t>暴击穿透：增加暴击伤害10%</t>
  </si>
  <si>
    <t>秘传奥义：增加攻击10%</t>
  </si>
  <si>
    <t>流逝：道士3技能冷却时间缩短2s</t>
  </si>
  <si>
    <t>天神巨力：道士4技能冷却时间缩短2s</t>
  </si>
  <si>
    <t>终技：毁灭之眼</t>
  </si>
  <si>
    <t>释放出悬浮在半空的魔眼。魔眼扫荡之下，将剧烈的灼烧地面形成一片持续的火圈。停留在此区域内的所有敌人，将受到一次群体“紫毒”和伤害的效果。</t>
  </si>
  <si>
    <t>技能所属职业</t>
  </si>
  <si>
    <t>动作文件名</t>
  </si>
  <si>
    <t>技能分类1</t>
  </si>
  <si>
    <t>技能分类2</t>
  </si>
  <si>
    <t>所用动作</t>
  </si>
  <si>
    <t>技能名</t>
  </si>
  <si>
    <t>大致描述</t>
  </si>
  <si>
    <t>光效需求</t>
  </si>
  <si>
    <t>参考颜色</t>
  </si>
  <si>
    <t>特效范围示例</t>
  </si>
  <si>
    <t>特效范围像素大小参考</t>
  </si>
  <si>
    <t>参考图/视频</t>
  </si>
  <si>
    <t>cast</t>
  </si>
  <si>
    <t>群攻</t>
  </si>
  <si>
    <t>攻击</t>
  </si>
  <si>
    <t>施法</t>
  </si>
  <si>
    <t>开天斩</t>
  </si>
  <si>
    <t>传奇战士龙影剑法</t>
  </si>
  <si>
    <t>蓝白色刀特效</t>
  </si>
  <si>
    <t>群体</t>
  </si>
  <si>
    <t>群攻-直线</t>
  </si>
  <si>
    <t>传奇战士开天斩</t>
  </si>
  <si>
    <t>传奇战士开天斩，凝聚力量的顶点，幻化出一柄巨剑!对前方直线的敌人造成伤害</t>
  </si>
  <si>
    <t>前方直线</t>
  </si>
  <si>
    <t>范围</t>
  </si>
  <si>
    <t>冰霜群雨</t>
  </si>
  <si>
    <t>传奇法师冰霜群雨</t>
  </si>
  <si>
    <t>传奇法师冰霜群雨，在区域内从天而降释放冰爆，造成大量伤害</t>
  </si>
  <si>
    <t>青白色冰风暴</t>
  </si>
  <si>
    <t>火龙烈焰</t>
  </si>
  <si>
    <t>传奇法师火龙烈焰</t>
  </si>
  <si>
    <t>传奇法师火龙烈焰，召唤出可以熔化天日的火龙气焰，对范围内的敌人造成大量伤害</t>
  </si>
  <si>
    <t>橙黄色蘑菇云火焰 光效</t>
  </si>
  <si>
    <t>飓风破</t>
  </si>
  <si>
    <t>传奇道士飓风破</t>
  </si>
  <si>
    <t>传奇道士飓风破，在区域内释放一道龙卷风</t>
  </si>
  <si>
    <t>青白色风暴</t>
  </si>
  <si>
    <t>毁灭之眼</t>
  </si>
  <si>
    <t>传奇道士毁灭之眼</t>
  </si>
  <si>
    <t>传奇道士毁灭之眼，释放出悬浮在半空的魔眼。魔眼扫荡之下，将剧烈的灼烧地面形成一片持续的火圈。停留在此区域内的所有敌人造成伤害</t>
  </si>
  <si>
    <t>橙黄色眼睛 光效</t>
  </si>
  <si>
    <t>参考图</t>
  </si>
  <si>
    <t>参考游戏—</t>
  </si>
  <si>
    <t>美术需求</t>
  </si>
  <si>
    <t>UI需求</t>
  </si>
  <si>
    <t>序号</t>
  </si>
  <si>
    <t>类型</t>
  </si>
  <si>
    <t>对应界面</t>
  </si>
  <si>
    <t>内容描述</t>
  </si>
  <si>
    <t>功能需求</t>
  </si>
  <si>
    <t>备注</t>
  </si>
  <si>
    <t>UI</t>
  </si>
  <si>
    <t>天赋界面</t>
  </si>
  <si>
    <t>天赋界面相关内容</t>
  </si>
  <si>
    <t>详见界面设计</t>
  </si>
  <si>
    <t>天赋-技能tips界面</t>
  </si>
  <si>
    <t>技能tips界面相关内容</t>
  </si>
  <si>
    <t>原画需求</t>
  </si>
  <si>
    <t>无</t>
  </si>
  <si>
    <t>ICON需求</t>
  </si>
  <si>
    <t>图标需求</t>
  </si>
  <si>
    <t>尺寸需求</t>
  </si>
  <si>
    <t>ICON</t>
  </si>
  <si>
    <t>道具图标</t>
  </si>
  <si>
    <t>天赋残页</t>
  </si>
  <si>
    <t>功能对应培养材料道具</t>
  </si>
  <si>
    <t>还神丹</t>
  </si>
  <si>
    <t>技能图标</t>
  </si>
  <si>
    <t>战士：天神庇护</t>
  </si>
  <si>
    <t>战士系列的图标用黄色色调为主</t>
  </si>
  <si>
    <t>战士：生命之源</t>
  </si>
  <si>
    <t>战士：全副武装</t>
  </si>
  <si>
    <t>战士：刺耳怒吼</t>
  </si>
  <si>
    <t>战士：龙影剑法</t>
  </si>
  <si>
    <t>战士：热血狂暴</t>
  </si>
  <si>
    <t>战士：快速打击</t>
  </si>
  <si>
    <t>战士：心灵之怒</t>
  </si>
  <si>
    <t>战士：铁石心胸</t>
  </si>
  <si>
    <t>法师：气定神闲</t>
  </si>
  <si>
    <t>法师系列的图标用蓝色色调为主</t>
  </si>
  <si>
    <t>法师：奥术集中</t>
  </si>
  <si>
    <t>法师：奥术爆裂</t>
  </si>
  <si>
    <t>法师：炽燃强化</t>
  </si>
  <si>
    <t>法师：冰霜群雨</t>
  </si>
  <si>
    <t>法师：魔法吸收</t>
  </si>
  <si>
    <t>法师：奥术精妙</t>
  </si>
  <si>
    <t>法师：刺骨寒冰</t>
  </si>
  <si>
    <t>法师：寒冰碎片</t>
  </si>
  <si>
    <t>法师：火龙烈焰</t>
  </si>
  <si>
    <t>道士：龙之护鳞</t>
  </si>
  <si>
    <t>道士系列的图标用蓝色色调为主</t>
  </si>
  <si>
    <t>道士：英灵守护</t>
  </si>
  <si>
    <t>道士：近战反弹</t>
  </si>
  <si>
    <t>道士：矢志破敌</t>
  </si>
  <si>
    <t>道士：飓风破</t>
  </si>
  <si>
    <t>道士：暴击穿透</t>
  </si>
  <si>
    <t>道士：秘传奥义</t>
  </si>
  <si>
    <t>道士：流逝</t>
  </si>
  <si>
    <t>道士：天神巨力</t>
  </si>
  <si>
    <t>道士：毁灭之眼</t>
  </si>
  <si>
    <t>道具框</t>
  </si>
  <si>
    <t>角色界面未激活天赋显示</t>
  </si>
  <si>
    <t>动效需求</t>
  </si>
  <si>
    <t>描述</t>
  </si>
  <si>
    <t>其他</t>
  </si>
  <si>
    <r>
      <rPr>
        <b/>
        <sz val="20"/>
        <color rgb="FFFFFFFF"/>
        <rFont val="微软雅黑"/>
        <charset val="134"/>
      </rPr>
      <t>表结构设计</t>
    </r>
  </si>
  <si>
    <t>配置设计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</si>
</sst>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20"/>
      <color rgb="FFFFFFFF"/>
      <name val="微软雅黑"/>
      <charset val="134"/>
    </font>
    <font>
      <b/>
      <sz val="16"/>
      <color rgb="FFFFFFFF"/>
      <name val="微软雅黑"/>
      <charset val="134"/>
    </font>
    <font>
      <b/>
      <sz val="11"/>
      <color rgb="FFFF0000"/>
      <name val="微软雅黑"/>
      <charset val="134"/>
    </font>
    <font>
      <b/>
      <sz val="20"/>
      <color theme="0"/>
      <name val="微软雅黑"/>
      <charset val="134"/>
    </font>
    <font>
      <b/>
      <sz val="16"/>
      <color theme="0"/>
      <name val="微软雅黑"/>
      <charset val="134"/>
    </font>
    <font>
      <b/>
      <sz val="11"/>
      <color theme="1"/>
      <name val="微软雅黑"/>
      <charset val="134"/>
    </font>
    <font>
      <sz val="11"/>
      <color theme="1"/>
      <name val="宋体"/>
      <charset val="134"/>
    </font>
    <font>
      <b/>
      <sz val="16"/>
      <color theme="1"/>
      <name val="微软雅黑"/>
      <charset val="134"/>
    </font>
    <font>
      <b/>
      <sz val="20"/>
      <name val="微软雅黑"/>
      <charset val="134"/>
    </font>
    <font>
      <sz val="10.5"/>
      <color rgb="FF181C1F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.5"/>
      <color rgb="FF181C1F"/>
      <name val="Segoe UI"/>
      <charset val="134"/>
    </font>
  </fonts>
  <fills count="39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8" borderId="2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9" borderId="5" applyNumberFormat="0" applyAlignment="0" applyProtection="0">
      <alignment vertical="center"/>
    </xf>
    <xf numFmtId="0" fontId="21" fillId="10" borderId="6" applyNumberFormat="0" applyAlignment="0" applyProtection="0">
      <alignment vertical="center"/>
    </xf>
    <xf numFmtId="0" fontId="22" fillId="10" borderId="5" applyNumberFormat="0" applyAlignment="0" applyProtection="0">
      <alignment vertical="center"/>
    </xf>
    <xf numFmtId="0" fontId="23" fillId="11" borderId="7" applyNumberFormat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4" fillId="3" borderId="0" xfId="0" applyFont="1" applyFill="1" applyAlignment="1">
      <alignment vertical="center"/>
    </xf>
    <xf numFmtId="0" fontId="1" fillId="0" borderId="0" xfId="0" applyFont="1" applyFill="1" applyAlignment="1">
      <alignment horizontal="left" vertical="center"/>
    </xf>
    <xf numFmtId="0" fontId="5" fillId="4" borderId="0" xfId="0" applyFont="1" applyFill="1" applyAlignment="1">
      <alignment vertical="center" wrapText="1"/>
    </xf>
    <xf numFmtId="0" fontId="1" fillId="0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3" fillId="2" borderId="0" xfId="0" applyFont="1" applyFill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0" fillId="0" borderId="1" xfId="0" applyFill="1" applyBorder="1">
      <alignment vertical="center"/>
    </xf>
    <xf numFmtId="0" fontId="5" fillId="4" borderId="0" xfId="0" applyFont="1" applyFill="1" applyAlignment="1">
      <alignment horizontal="left" vertical="center"/>
    </xf>
    <xf numFmtId="0" fontId="1" fillId="0" borderId="0" xfId="0" applyFont="1">
      <alignment vertical="center"/>
    </xf>
    <xf numFmtId="0" fontId="0" fillId="5" borderId="0" xfId="0" applyFill="1">
      <alignment vertical="center"/>
    </xf>
    <xf numFmtId="0" fontId="0" fillId="6" borderId="0" xfId="0" applyFill="1">
      <alignment vertical="center"/>
    </xf>
    <xf numFmtId="0" fontId="0" fillId="6" borderId="1" xfId="0" applyFill="1" applyBorder="1">
      <alignment vertical="center"/>
    </xf>
    <xf numFmtId="0" fontId="0" fillId="5" borderId="1" xfId="0" applyFill="1" applyBorder="1">
      <alignment vertical="center"/>
    </xf>
    <xf numFmtId="0" fontId="0" fillId="5" borderId="1" xfId="0" applyFill="1" applyBorder="1" applyAlignment="1">
      <alignment vertical="center" wrapText="1"/>
    </xf>
    <xf numFmtId="0" fontId="0" fillId="7" borderId="1" xfId="0" applyFill="1" applyBorder="1">
      <alignment vertical="center"/>
    </xf>
    <xf numFmtId="0" fontId="0" fillId="7" borderId="1" xfId="0" applyFill="1" applyBorder="1" applyAlignment="1">
      <alignment vertical="center" wrapText="1"/>
    </xf>
    <xf numFmtId="0" fontId="0" fillId="6" borderId="1" xfId="0" applyFill="1" applyBorder="1" applyAlignment="1">
      <alignment vertical="center" wrapText="1"/>
    </xf>
    <xf numFmtId="0" fontId="0" fillId="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1" fillId="5" borderId="0" xfId="0" applyFont="1" applyFill="1" applyAlignment="1">
      <alignment vertical="center"/>
    </xf>
    <xf numFmtId="0" fontId="0" fillId="5" borderId="1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left" vertical="center"/>
    </xf>
    <xf numFmtId="0" fontId="0" fillId="6" borderId="1" xfId="0" applyFill="1" applyBorder="1" applyAlignment="1">
      <alignment horizontal="left" vertical="center"/>
    </xf>
    <xf numFmtId="0" fontId="1" fillId="4" borderId="0" xfId="0" applyFont="1" applyFill="1" applyAlignment="1">
      <alignment vertical="center"/>
    </xf>
    <xf numFmtId="0" fontId="6" fillId="4" borderId="0" xfId="0" applyFont="1" applyFill="1" applyAlignment="1">
      <alignment horizontal="left" vertical="center"/>
    </xf>
    <xf numFmtId="0" fontId="7" fillId="0" borderId="0" xfId="0" applyFont="1" applyFill="1" applyAlignment="1">
      <alignment vertical="center"/>
    </xf>
    <xf numFmtId="0" fontId="8" fillId="0" borderId="0" xfId="0" applyFont="1" applyFill="1" applyAlignment="1">
      <alignment horizontal="center" vertical="center"/>
    </xf>
    <xf numFmtId="0" fontId="8" fillId="0" borderId="0" xfId="0" applyFont="1" applyFill="1" applyAlignment="1">
      <alignment horizontal="left" vertical="center"/>
    </xf>
    <xf numFmtId="0" fontId="5" fillId="4" borderId="0" xfId="0" applyFont="1" applyFill="1" applyAlignment="1">
      <alignment vertical="center"/>
    </xf>
    <xf numFmtId="0" fontId="9" fillId="0" borderId="0" xfId="0" applyFont="1" applyFill="1" applyAlignment="1">
      <alignment vertical="center"/>
    </xf>
    <xf numFmtId="0" fontId="1" fillId="4" borderId="0" xfId="0" applyFont="1" applyFill="1" applyAlignment="1">
      <alignment horizontal="center" vertical="center"/>
    </xf>
    <xf numFmtId="0" fontId="10" fillId="4" borderId="0" xfId="0" applyFont="1" applyFill="1" applyAlignment="1">
      <alignment horizontal="left" vertical="center"/>
    </xf>
    <xf numFmtId="0" fontId="11" fillId="0" borderId="0" xfId="0" applyFont="1">
      <alignment vertical="center"/>
    </xf>
    <xf numFmtId="0" fontId="0" fillId="0" borderId="0" xfId="0" applyFill="1" applyAlignment="1">
      <alignment vertical="center"/>
    </xf>
    <xf numFmtId="0" fontId="0" fillId="0" borderId="0" xfId="0" applyFont="1" applyFill="1" applyAlignment="1">
      <alignment horizontal="left" vertical="center"/>
    </xf>
    <xf numFmtId="0" fontId="0" fillId="0" borderId="0" xfId="0" applyFont="1" applyFill="1" applyAlignment="1">
      <alignment vertical="center"/>
    </xf>
    <xf numFmtId="0" fontId="0" fillId="6" borderId="1" xfId="0" applyFont="1" applyFill="1" applyBorder="1" applyAlignment="1">
      <alignment horizontal="left" vertical="center"/>
    </xf>
    <xf numFmtId="0" fontId="0" fillId="6" borderId="1" xfId="0" applyFont="1" applyFill="1" applyBorder="1" applyAlignment="1">
      <alignment vertical="center"/>
    </xf>
    <xf numFmtId="14" fontId="0" fillId="0" borderId="1" xfId="0" applyNumberFormat="1" applyFont="1" applyFill="1" applyBorder="1" applyAlignment="1">
      <alignment horizontal="left" vertical="center"/>
    </xf>
    <xf numFmtId="0" fontId="0" fillId="0" borderId="1" xfId="0" applyFont="1" applyFill="1" applyBorder="1" applyAlignment="1">
      <alignment vertical="center"/>
    </xf>
    <xf numFmtId="0" fontId="0" fillId="0" borderId="1" xfId="0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9" Type="http://schemas.openxmlformats.org/officeDocument/2006/relationships/image" Target="media/image14.png"/><Relationship Id="rId8" Type="http://schemas.openxmlformats.org/officeDocument/2006/relationships/image" Target="media/image13.png"/><Relationship Id="rId7" Type="http://schemas.openxmlformats.org/officeDocument/2006/relationships/image" Target="media/image12.png"/><Relationship Id="rId6" Type="http://schemas.openxmlformats.org/officeDocument/2006/relationships/image" Target="media/image11.png"/><Relationship Id="rId5" Type="http://schemas.openxmlformats.org/officeDocument/2006/relationships/image" Target="media/image10.png"/><Relationship Id="rId4" Type="http://schemas.openxmlformats.org/officeDocument/2006/relationships/image" Target="media/image9.png"/><Relationship Id="rId3" Type="http://schemas.openxmlformats.org/officeDocument/2006/relationships/image" Target="media/image8.png"/><Relationship Id="rId2" Type="http://schemas.openxmlformats.org/officeDocument/2006/relationships/image" Target="media/image7.png"/><Relationship Id="rId11" Type="http://schemas.openxmlformats.org/officeDocument/2006/relationships/image" Target="media/image16.png"/><Relationship Id="rId10" Type="http://schemas.openxmlformats.org/officeDocument/2006/relationships/image" Target="media/image15.png"/><Relationship Id="rId1" Type="http://schemas.openxmlformats.org/officeDocument/2006/relationships/image" Target="media/image6.png"/></Relationships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www.wps.cn/officeDocument/2020/cellImage" Target="cellimage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580390</xdr:colOff>
      <xdr:row>23</xdr:row>
      <xdr:rowOff>154940</xdr:rowOff>
    </xdr:from>
    <xdr:to>
      <xdr:col>10</xdr:col>
      <xdr:colOff>38100</xdr:colOff>
      <xdr:row>38</xdr:row>
      <xdr:rowOff>447675</xdr:rowOff>
    </xdr:to>
    <xdr:pic>
      <xdr:nvPicPr>
        <xdr:cNvPr id="8" name="图片 7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80390" y="5298440"/>
          <a:ext cx="6315710" cy="34359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5</xdr:col>
      <xdr:colOff>504825</xdr:colOff>
      <xdr:row>19</xdr:row>
      <xdr:rowOff>57150</xdr:rowOff>
    </xdr:from>
    <xdr:to>
      <xdr:col>6</xdr:col>
      <xdr:colOff>200025</xdr:colOff>
      <xdr:row>20</xdr:row>
      <xdr:rowOff>133350</xdr:rowOff>
    </xdr:to>
    <xdr:sp>
      <xdr:nvSpPr>
        <xdr:cNvPr id="9" name="线形标注 1(无边框) 8"/>
        <xdr:cNvSpPr/>
      </xdr:nvSpPr>
      <xdr:spPr>
        <a:xfrm>
          <a:off x="3933825" y="4362450"/>
          <a:ext cx="381000" cy="285750"/>
        </a:xfrm>
        <a:prstGeom prst="callout1">
          <a:avLst>
            <a:gd name="adj1" fmla="val 115333"/>
            <a:gd name="adj2" fmla="val 41666"/>
            <a:gd name="adj3" fmla="val 333777"/>
            <a:gd name="adj4" fmla="val -14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9</xdr:col>
      <xdr:colOff>479425</xdr:colOff>
      <xdr:row>19</xdr:row>
      <xdr:rowOff>136525</xdr:rowOff>
    </xdr:from>
    <xdr:to>
      <xdr:col>10</xdr:col>
      <xdr:colOff>174625</xdr:colOff>
      <xdr:row>21</xdr:row>
      <xdr:rowOff>3175</xdr:rowOff>
    </xdr:to>
    <xdr:sp>
      <xdr:nvSpPr>
        <xdr:cNvPr id="10" name="线形标注 1(无边框) 9"/>
        <xdr:cNvSpPr/>
      </xdr:nvSpPr>
      <xdr:spPr>
        <a:xfrm>
          <a:off x="6651625" y="4441825"/>
          <a:ext cx="381000" cy="285750"/>
        </a:xfrm>
        <a:prstGeom prst="callout1">
          <a:avLst>
            <a:gd name="adj1" fmla="val 108666"/>
            <a:gd name="adj2" fmla="val 56666"/>
            <a:gd name="adj3" fmla="val 363777"/>
            <a:gd name="adj4" fmla="val 201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</xdr:col>
      <xdr:colOff>120650</xdr:colOff>
      <xdr:row>20</xdr:row>
      <xdr:rowOff>168275</xdr:rowOff>
    </xdr:from>
    <xdr:to>
      <xdr:col>1</xdr:col>
      <xdr:colOff>501650</xdr:colOff>
      <xdr:row>22</xdr:row>
      <xdr:rowOff>34925</xdr:rowOff>
    </xdr:to>
    <xdr:sp>
      <xdr:nvSpPr>
        <xdr:cNvPr id="11" name="线形标注 1(无边框) 10"/>
        <xdr:cNvSpPr/>
      </xdr:nvSpPr>
      <xdr:spPr>
        <a:xfrm>
          <a:off x="806450" y="4683125"/>
          <a:ext cx="381000" cy="285750"/>
        </a:xfrm>
        <a:prstGeom prst="callout1">
          <a:avLst>
            <a:gd name="adj1" fmla="val 108666"/>
            <a:gd name="adj2" fmla="val 56666"/>
            <a:gd name="adj3" fmla="val 427111"/>
            <a:gd name="adj4" fmla="val 2076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0</xdr:col>
      <xdr:colOff>635</xdr:colOff>
      <xdr:row>30</xdr:row>
      <xdr:rowOff>104775</xdr:rowOff>
    </xdr:from>
    <xdr:to>
      <xdr:col>0</xdr:col>
      <xdr:colOff>381635</xdr:colOff>
      <xdr:row>31</xdr:row>
      <xdr:rowOff>180975</xdr:rowOff>
    </xdr:to>
    <xdr:sp>
      <xdr:nvSpPr>
        <xdr:cNvPr id="12" name="线形标注 1(无边框) 11"/>
        <xdr:cNvSpPr/>
      </xdr:nvSpPr>
      <xdr:spPr>
        <a:xfrm>
          <a:off x="635" y="6715125"/>
          <a:ext cx="381000" cy="285750"/>
        </a:xfrm>
        <a:prstGeom prst="callout1">
          <a:avLst>
            <a:gd name="adj1" fmla="val 55333"/>
            <a:gd name="adj2" fmla="val 101669"/>
            <a:gd name="adj3" fmla="val -92888"/>
            <a:gd name="adj4" fmla="val 262604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5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4</xdr:col>
      <xdr:colOff>51435</xdr:colOff>
      <xdr:row>19</xdr:row>
      <xdr:rowOff>107950</xdr:rowOff>
    </xdr:from>
    <xdr:to>
      <xdr:col>4</xdr:col>
      <xdr:colOff>432435</xdr:colOff>
      <xdr:row>20</xdr:row>
      <xdr:rowOff>184150</xdr:rowOff>
    </xdr:to>
    <xdr:sp>
      <xdr:nvSpPr>
        <xdr:cNvPr id="13" name="线形标注 1(无边框) 12"/>
        <xdr:cNvSpPr/>
      </xdr:nvSpPr>
      <xdr:spPr>
        <a:xfrm>
          <a:off x="2794635" y="4413250"/>
          <a:ext cx="381000" cy="285750"/>
        </a:xfrm>
        <a:prstGeom prst="callout1">
          <a:avLst>
            <a:gd name="adj1" fmla="val 112000"/>
            <a:gd name="adj2" fmla="val 46666"/>
            <a:gd name="adj3" fmla="val 480444"/>
            <a:gd name="adj4" fmla="val 88000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4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4</xdr:col>
      <xdr:colOff>428625</xdr:colOff>
      <xdr:row>45</xdr:row>
      <xdr:rowOff>57150</xdr:rowOff>
    </xdr:from>
    <xdr:to>
      <xdr:col>5</xdr:col>
      <xdr:colOff>124460</xdr:colOff>
      <xdr:row>46</xdr:row>
      <xdr:rowOff>133350</xdr:rowOff>
    </xdr:to>
    <xdr:sp>
      <xdr:nvSpPr>
        <xdr:cNvPr id="4" name="线形标注 1(无边框) 3"/>
        <xdr:cNvSpPr/>
      </xdr:nvSpPr>
      <xdr:spPr>
        <a:xfrm>
          <a:off x="3171825" y="10382250"/>
          <a:ext cx="381635" cy="285750"/>
        </a:xfrm>
        <a:prstGeom prst="callout1">
          <a:avLst>
            <a:gd name="adj1" fmla="val -1333"/>
            <a:gd name="adj2" fmla="val 56666"/>
            <a:gd name="adj3" fmla="val -399555"/>
            <a:gd name="adj4" fmla="val 10482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7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6</xdr:col>
      <xdr:colOff>669925</xdr:colOff>
      <xdr:row>18</xdr:row>
      <xdr:rowOff>107950</xdr:rowOff>
    </xdr:from>
    <xdr:to>
      <xdr:col>7</xdr:col>
      <xdr:colOff>365760</xdr:colOff>
      <xdr:row>19</xdr:row>
      <xdr:rowOff>184150</xdr:rowOff>
    </xdr:to>
    <xdr:sp>
      <xdr:nvSpPr>
        <xdr:cNvPr id="7" name="线形标注 1(无边框) 6"/>
        <xdr:cNvSpPr/>
      </xdr:nvSpPr>
      <xdr:spPr>
        <a:xfrm>
          <a:off x="4784725" y="4203700"/>
          <a:ext cx="381635" cy="285750"/>
        </a:xfrm>
        <a:prstGeom prst="callout1">
          <a:avLst>
            <a:gd name="adj1" fmla="val 98666"/>
            <a:gd name="adj2" fmla="val 56738"/>
            <a:gd name="adj3" fmla="val 450444"/>
            <a:gd name="adj4" fmla="val 47920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9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1</xdr:col>
      <xdr:colOff>276225</xdr:colOff>
      <xdr:row>109</xdr:row>
      <xdr:rowOff>114300</xdr:rowOff>
    </xdr:from>
    <xdr:to>
      <xdr:col>6</xdr:col>
      <xdr:colOff>323850</xdr:colOff>
      <xdr:row>118</xdr:row>
      <xdr:rowOff>410845</xdr:rowOff>
    </xdr:to>
    <xdr:pic>
      <xdr:nvPicPr>
        <xdr:cNvPr id="5" name="图片 4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62025" y="25801955"/>
          <a:ext cx="3476625" cy="2552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3</xdr:col>
      <xdr:colOff>203200</xdr:colOff>
      <xdr:row>43</xdr:row>
      <xdr:rowOff>88900</xdr:rowOff>
    </xdr:from>
    <xdr:to>
      <xdr:col>3</xdr:col>
      <xdr:colOff>584835</xdr:colOff>
      <xdr:row>44</xdr:row>
      <xdr:rowOff>165100</xdr:rowOff>
    </xdr:to>
    <xdr:sp>
      <xdr:nvSpPr>
        <xdr:cNvPr id="14" name="线形标注 1(无边框) 13"/>
        <xdr:cNvSpPr/>
      </xdr:nvSpPr>
      <xdr:spPr>
        <a:xfrm>
          <a:off x="2260600" y="9994900"/>
          <a:ext cx="381635" cy="285750"/>
        </a:xfrm>
        <a:prstGeom prst="callout1">
          <a:avLst>
            <a:gd name="adj1" fmla="val -1333"/>
            <a:gd name="adj2" fmla="val 56666"/>
            <a:gd name="adj3" fmla="val -399555"/>
            <a:gd name="adj4" fmla="val 10482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6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8</xdr:col>
      <xdr:colOff>206375</xdr:colOff>
      <xdr:row>21</xdr:row>
      <xdr:rowOff>206375</xdr:rowOff>
    </xdr:from>
    <xdr:to>
      <xdr:col>8</xdr:col>
      <xdr:colOff>588010</xdr:colOff>
      <xdr:row>23</xdr:row>
      <xdr:rowOff>73025</xdr:rowOff>
    </xdr:to>
    <xdr:sp>
      <xdr:nvSpPr>
        <xdr:cNvPr id="15" name="线形标注 1(无边框) 14"/>
        <xdr:cNvSpPr/>
      </xdr:nvSpPr>
      <xdr:spPr>
        <a:xfrm>
          <a:off x="5692775" y="4930775"/>
          <a:ext cx="381635" cy="285750"/>
        </a:xfrm>
        <a:prstGeom prst="callout1">
          <a:avLst>
            <a:gd name="adj1" fmla="val 98666"/>
            <a:gd name="adj2" fmla="val 56738"/>
            <a:gd name="adj3" fmla="val 450444"/>
            <a:gd name="adj4" fmla="val 47920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8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0</xdr:col>
      <xdr:colOff>85725</xdr:colOff>
      <xdr:row>51</xdr:row>
      <xdr:rowOff>47625</xdr:rowOff>
    </xdr:from>
    <xdr:to>
      <xdr:col>9</xdr:col>
      <xdr:colOff>229235</xdr:colOff>
      <xdr:row>67</xdr:row>
      <xdr:rowOff>130810</xdr:rowOff>
    </xdr:to>
    <xdr:pic>
      <xdr:nvPicPr>
        <xdr:cNvPr id="23" name="图片 2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5725" y="11706225"/>
          <a:ext cx="6315710" cy="343598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381000</xdr:colOff>
      <xdr:row>5</xdr:row>
      <xdr:rowOff>85725</xdr:rowOff>
    </xdr:from>
    <xdr:to>
      <xdr:col>9</xdr:col>
      <xdr:colOff>485775</xdr:colOff>
      <xdr:row>24</xdr:row>
      <xdr:rowOff>66675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66800" y="1381125"/>
          <a:ext cx="5591175" cy="39624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7</xdr:col>
      <xdr:colOff>495300</xdr:colOff>
      <xdr:row>15</xdr:row>
      <xdr:rowOff>142875</xdr:rowOff>
    </xdr:from>
    <xdr:to>
      <xdr:col>7</xdr:col>
      <xdr:colOff>1019175</xdr:colOff>
      <xdr:row>15</xdr:row>
      <xdr:rowOff>628650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115300" y="8601075"/>
          <a:ext cx="523875" cy="4857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390525</xdr:colOff>
      <xdr:row>24</xdr:row>
      <xdr:rowOff>171450</xdr:rowOff>
    </xdr:from>
    <xdr:to>
      <xdr:col>7</xdr:col>
      <xdr:colOff>953135</xdr:colOff>
      <xdr:row>24</xdr:row>
      <xdr:rowOff>718185</xdr:rowOff>
    </xdr:to>
    <xdr:pic>
      <xdr:nvPicPr>
        <xdr:cNvPr id="4" name="图片 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8010525" y="15830550"/>
          <a:ext cx="562610" cy="54673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25"/>
  <sheetViews>
    <sheetView workbookViewId="0">
      <pane ySplit="1" topLeftCell="A2" activePane="bottomLeft" state="frozen"/>
      <selection/>
      <selection pane="bottomLeft" activeCell="C43" sqref="C43"/>
    </sheetView>
  </sheetViews>
  <sheetFormatPr defaultColWidth="9" defaultRowHeight="13.5"/>
  <cols>
    <col min="1" max="1" width="10.375" style="43"/>
    <col min="2" max="2" width="11.5" style="43" customWidth="1"/>
    <col min="3" max="3" width="15" style="43" customWidth="1"/>
    <col min="4" max="4" width="9.75" style="43" customWidth="1"/>
    <col min="5" max="16384" width="9" style="43"/>
  </cols>
  <sheetData>
    <row r="1" ht="29.25" spans="1:22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</row>
    <row r="3" spans="2:4">
      <c r="B3" s="44" t="s">
        <v>1</v>
      </c>
      <c r="C3" s="45" t="s">
        <v>2</v>
      </c>
      <c r="D3" s="45"/>
    </row>
    <row r="4" spans="2:4">
      <c r="B4" s="46" t="s">
        <v>3</v>
      </c>
      <c r="C4" s="47" t="s">
        <v>4</v>
      </c>
      <c r="D4" s="47" t="s">
        <v>5</v>
      </c>
    </row>
    <row r="5" spans="2:4">
      <c r="B5" s="48">
        <v>45947</v>
      </c>
      <c r="C5" s="49" t="s">
        <v>6</v>
      </c>
      <c r="D5" s="49" t="s">
        <v>7</v>
      </c>
    </row>
    <row r="6" spans="2:4">
      <c r="B6" s="48"/>
      <c r="C6" s="49"/>
      <c r="D6" s="49"/>
    </row>
    <row r="7" spans="2:4">
      <c r="B7" s="48"/>
      <c r="C7" s="49"/>
      <c r="D7" s="49"/>
    </row>
    <row r="8" spans="2:4">
      <c r="B8" s="50"/>
      <c r="C8" s="49"/>
      <c r="D8" s="49"/>
    </row>
    <row r="9" spans="2:4">
      <c r="B9" s="50"/>
      <c r="C9" s="49"/>
      <c r="D9" s="49"/>
    </row>
    <row r="10" spans="2:4">
      <c r="B10" s="50"/>
      <c r="C10" s="49"/>
      <c r="D10" s="49"/>
    </row>
    <row r="11" spans="2:4">
      <c r="B11" s="50"/>
      <c r="C11" s="49"/>
      <c r="D11" s="49"/>
    </row>
    <row r="12" spans="2:4">
      <c r="B12" s="50"/>
      <c r="C12" s="49"/>
      <c r="D12" s="49"/>
    </row>
    <row r="13" spans="2:4">
      <c r="B13" s="50"/>
      <c r="C13" s="49"/>
      <c r="D13" s="49"/>
    </row>
    <row r="14" spans="2:4">
      <c r="B14" s="50"/>
      <c r="C14" s="49"/>
      <c r="D14" s="49"/>
    </row>
    <row r="15" spans="2:4">
      <c r="B15" s="50"/>
      <c r="C15" s="49"/>
      <c r="D15" s="49"/>
    </row>
    <row r="16" spans="2:4">
      <c r="B16" s="50"/>
      <c r="C16" s="49"/>
      <c r="D16" s="49"/>
    </row>
    <row r="17" spans="2:4">
      <c r="B17" s="50"/>
      <c r="C17" s="49"/>
      <c r="D17" s="49"/>
    </row>
    <row r="18" spans="2:4">
      <c r="B18" s="50"/>
      <c r="C18" s="49"/>
      <c r="D18" s="49"/>
    </row>
    <row r="19" spans="2:4">
      <c r="B19" s="50"/>
      <c r="C19" s="49"/>
      <c r="D19" s="49"/>
    </row>
    <row r="20" spans="2:4">
      <c r="B20" s="50"/>
      <c r="C20" s="49"/>
      <c r="D20" s="49"/>
    </row>
    <row r="21" spans="2:4">
      <c r="B21" s="50"/>
      <c r="C21" s="49"/>
      <c r="D21" s="49"/>
    </row>
    <row r="22" spans="2:4">
      <c r="B22" s="50"/>
      <c r="C22" s="49"/>
      <c r="D22" s="49"/>
    </row>
    <row r="23" spans="2:4">
      <c r="B23" s="50"/>
      <c r="C23" s="49"/>
      <c r="D23" s="49"/>
    </row>
    <row r="24" spans="2:4">
      <c r="B24" s="50"/>
      <c r="C24" s="49"/>
      <c r="D24" s="49"/>
    </row>
    <row r="25" spans="2:4">
      <c r="B25" s="50"/>
      <c r="C25" s="49"/>
      <c r="D25" s="49"/>
    </row>
  </sheetData>
  <mergeCells count="1">
    <mergeCell ref="A1:V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14"/>
  <sheetViews>
    <sheetView workbookViewId="0">
      <pane ySplit="1" topLeftCell="A2" activePane="bottomLeft" state="frozen"/>
      <selection/>
      <selection pane="bottomLeft" activeCell="A1" sqref="A1:X1"/>
    </sheetView>
  </sheetViews>
  <sheetFormatPr defaultColWidth="9" defaultRowHeight="16.5"/>
  <cols>
    <col min="1" max="16384" width="9" style="1"/>
  </cols>
  <sheetData>
    <row r="1" s="16" customFormat="1" ht="30" customHeight="1" spans="1:1">
      <c r="A1" s="16" t="s">
        <v>8</v>
      </c>
    </row>
    <row r="3" ht="22.5" spans="2:7">
      <c r="B3" s="34" t="s">
        <v>9</v>
      </c>
      <c r="C3" s="34"/>
      <c r="D3" s="34"/>
      <c r="E3" s="34"/>
      <c r="F3" s="34"/>
      <c r="G3" s="34"/>
    </row>
    <row r="5" spans="2:6">
      <c r="B5" s="1" t="s">
        <v>10</v>
      </c>
      <c r="D5" s="17"/>
      <c r="E5" s="17"/>
      <c r="F5" s="17"/>
    </row>
    <row r="6" spans="2:6">
      <c r="B6" s="3" t="s">
        <v>11</v>
      </c>
      <c r="C6" s="1" t="s">
        <v>12</v>
      </c>
      <c r="D6" s="17"/>
      <c r="E6" s="17"/>
      <c r="F6" s="17"/>
    </row>
    <row r="7" spans="2:6">
      <c r="B7" s="3" t="s">
        <v>11</v>
      </c>
      <c r="D7" s="17"/>
      <c r="E7" s="17"/>
      <c r="F7" s="17"/>
    </row>
    <row r="8" spans="2:6">
      <c r="B8" s="3"/>
      <c r="D8" s="17"/>
      <c r="E8" s="17"/>
      <c r="F8" s="17"/>
    </row>
    <row r="9" spans="2:6">
      <c r="B9" s="3"/>
      <c r="D9" s="17"/>
      <c r="E9" s="17"/>
      <c r="F9" s="17"/>
    </row>
    <row r="10" spans="2:6">
      <c r="B10" s="3"/>
      <c r="D10" s="17"/>
      <c r="E10" s="17"/>
      <c r="F10" s="17"/>
    </row>
    <row r="11" spans="2:6">
      <c r="B11" s="17" t="s">
        <v>13</v>
      </c>
      <c r="C11" s="17"/>
      <c r="D11" s="17"/>
      <c r="E11" s="17"/>
      <c r="F11" s="17"/>
    </row>
    <row r="12" spans="2:6">
      <c r="B12" s="3" t="s">
        <v>11</v>
      </c>
      <c r="C12" s="17" t="s">
        <v>14</v>
      </c>
      <c r="D12" s="17"/>
      <c r="E12" s="17"/>
      <c r="F12" s="17"/>
    </row>
    <row r="13" spans="2:6">
      <c r="B13" s="3"/>
      <c r="D13" s="17"/>
      <c r="E13" s="17"/>
      <c r="F13" s="17"/>
    </row>
    <row r="14" spans="2:6">
      <c r="B14" s="17"/>
      <c r="C14" s="17"/>
      <c r="D14" s="17"/>
      <c r="E14" s="17"/>
      <c r="F14" s="17"/>
    </row>
  </sheetData>
  <mergeCells count="2">
    <mergeCell ref="A1:X1"/>
    <mergeCell ref="B3:G3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119"/>
  <sheetViews>
    <sheetView topLeftCell="A24" workbookViewId="0">
      <selection activeCell="O39" sqref="O39"/>
    </sheetView>
  </sheetViews>
  <sheetFormatPr defaultColWidth="9" defaultRowHeight="16.5"/>
  <cols>
    <col min="1" max="14" width="9" style="1"/>
    <col min="15" max="15" width="10.375" style="1"/>
    <col min="16" max="20" width="9" style="1"/>
    <col min="21" max="21" width="2.05833333333333" style="33" customWidth="1"/>
    <col min="22" max="22" width="9" style="1"/>
    <col min="23" max="23" width="17.75" style="1" customWidth="1"/>
    <col min="24" max="24" width="11.625" style="1" customWidth="1"/>
    <col min="25" max="26" width="9" style="1"/>
    <col min="27" max="27" width="15" style="1" customWidth="1"/>
    <col min="28" max="33" width="12.5" style="1"/>
    <col min="34" max="16384" width="9" style="1"/>
  </cols>
  <sheetData>
    <row r="1" s="16" customFormat="1" ht="30" customHeight="1" spans="1:38">
      <c r="A1" s="16" t="s">
        <v>8</v>
      </c>
      <c r="V1" s="16" t="s">
        <v>15</v>
      </c>
      <c r="W1" s="38"/>
      <c r="AL1" s="41"/>
    </row>
    <row r="3" ht="22.5" spans="2:23">
      <c r="B3" s="34" t="s">
        <v>16</v>
      </c>
      <c r="C3" s="34"/>
      <c r="D3" s="34"/>
      <c r="E3" s="34"/>
      <c r="F3" s="34"/>
      <c r="G3" s="34"/>
      <c r="W3" s="39" t="s">
        <v>17</v>
      </c>
    </row>
    <row r="4" spans="13:23">
      <c r="M4" s="3"/>
      <c r="W4" s="1" t="s">
        <v>18</v>
      </c>
    </row>
    <row r="5" spans="2:24">
      <c r="B5" s="1" t="s">
        <v>19</v>
      </c>
      <c r="J5"/>
      <c r="L5" s="17"/>
      <c r="M5" s="3"/>
      <c r="N5" s="17"/>
      <c r="W5" s="3" t="s">
        <v>11</v>
      </c>
      <c r="X5" s="1" t="s">
        <v>20</v>
      </c>
    </row>
    <row r="6" spans="13:24">
      <c r="M6" s="17"/>
      <c r="N6" s="17"/>
      <c r="W6" s="17" t="s">
        <v>13</v>
      </c>
      <c r="X6" s="17"/>
    </row>
    <row r="7" spans="13:24">
      <c r="M7" s="3"/>
      <c r="N7" s="17"/>
      <c r="W7" s="3" t="s">
        <v>11</v>
      </c>
      <c r="X7" s="17" t="s">
        <v>14</v>
      </c>
    </row>
    <row r="8" spans="13:24">
      <c r="M8" s="17"/>
      <c r="N8" s="17"/>
      <c r="W8" s="1" t="s">
        <v>21</v>
      </c>
      <c r="X8" s="17"/>
    </row>
    <row r="9" spans="12:24">
      <c r="L9" s="17"/>
      <c r="W9" s="3" t="s">
        <v>11</v>
      </c>
      <c r="X9" s="17"/>
    </row>
    <row r="10" spans="12:24">
      <c r="L10" s="3"/>
      <c r="W10" s="3" t="s">
        <v>11</v>
      </c>
      <c r="X10" s="17"/>
    </row>
    <row r="11" spans="12:24">
      <c r="L11" s="3"/>
      <c r="W11" s="3" t="s">
        <v>11</v>
      </c>
      <c r="X11" s="17"/>
    </row>
    <row r="12" spans="12:24">
      <c r="L12" s="17"/>
      <c r="W12" s="36"/>
      <c r="X12" s="17"/>
    </row>
    <row r="13" spans="12:24">
      <c r="L13" s="3"/>
      <c r="W13" s="1" t="s">
        <v>22</v>
      </c>
      <c r="X13" s="17"/>
    </row>
    <row r="14" spans="23:24">
      <c r="W14" s="3" t="s">
        <v>11</v>
      </c>
      <c r="X14" s="17"/>
    </row>
    <row r="15" spans="23:24">
      <c r="W15" s="3" t="s">
        <v>11</v>
      </c>
      <c r="X15" s="17"/>
    </row>
    <row r="16" spans="23:25">
      <c r="W16" s="3"/>
      <c r="X16" s="17"/>
      <c r="Y16" s="17"/>
    </row>
    <row r="17" spans="25:25">
      <c r="Y17" s="17"/>
    </row>
    <row r="18" s="33" customFormat="1" ht="22.5" spans="2:23">
      <c r="B18" s="34" t="s">
        <v>23</v>
      </c>
      <c r="C18" s="34"/>
      <c r="D18" s="34"/>
      <c r="E18" s="34"/>
      <c r="F18" s="34"/>
      <c r="G18" s="34"/>
      <c r="W18" s="40"/>
    </row>
    <row r="19" spans="23:23">
      <c r="W19" s="3"/>
    </row>
    <row r="20" spans="12:23">
      <c r="L20" s="1" t="s">
        <v>24</v>
      </c>
      <c r="T20"/>
      <c r="W20" s="1" t="s">
        <v>24</v>
      </c>
    </row>
    <row r="21" spans="12:24">
      <c r="L21" s="36" t="s">
        <v>25</v>
      </c>
      <c r="M21" s="1" t="s">
        <v>26</v>
      </c>
      <c r="W21" s="36" t="s">
        <v>25</v>
      </c>
      <c r="X21" s="1" t="s">
        <v>26</v>
      </c>
    </row>
    <row r="22" spans="11:23">
      <c r="K22"/>
      <c r="L22" s="1" t="s">
        <v>27</v>
      </c>
      <c r="W22" s="1" t="s">
        <v>27</v>
      </c>
    </row>
    <row r="23" spans="12:24">
      <c r="L23" s="3" t="s">
        <v>11</v>
      </c>
      <c r="M23" s="1" t="s">
        <v>28</v>
      </c>
      <c r="W23" s="3" t="s">
        <v>11</v>
      </c>
      <c r="X23" s="1" t="s">
        <v>28</v>
      </c>
    </row>
    <row r="24" spans="12:26">
      <c r="L24" s="1" t="s">
        <v>29</v>
      </c>
      <c r="O24"/>
      <c r="W24" s="1" t="s">
        <v>29</v>
      </c>
      <c r="Z24"/>
    </row>
    <row r="25" spans="12:24">
      <c r="L25" s="36" t="s">
        <v>25</v>
      </c>
      <c r="M25" s="1" t="s">
        <v>30</v>
      </c>
      <c r="S25"/>
      <c r="W25" s="36" t="s">
        <v>25</v>
      </c>
      <c r="X25" s="1" t="s">
        <v>30</v>
      </c>
    </row>
    <row r="26" spans="12:23">
      <c r="L26" s="1" t="s">
        <v>31</v>
      </c>
      <c r="W26" s="1" t="s">
        <v>31</v>
      </c>
    </row>
    <row r="27" spans="12:29">
      <c r="L27" s="36" t="s">
        <v>25</v>
      </c>
      <c r="M27" s="1" t="s">
        <v>32</v>
      </c>
      <c r="R27"/>
      <c r="W27" s="36" t="s">
        <v>25</v>
      </c>
      <c r="X27" s="1" t="s">
        <v>32</v>
      </c>
      <c r="AC27"/>
    </row>
    <row r="28" spans="12:24">
      <c r="L28" s="36" t="s">
        <v>25</v>
      </c>
      <c r="M28" s="1" t="s">
        <v>33</v>
      </c>
      <c r="W28" s="36" t="s">
        <v>25</v>
      </c>
      <c r="X28" s="1" t="s">
        <v>33</v>
      </c>
    </row>
    <row r="29" spans="12:23">
      <c r="L29" s="1" t="s">
        <v>34</v>
      </c>
      <c r="W29" s="1" t="s">
        <v>35</v>
      </c>
    </row>
    <row r="30" spans="12:24">
      <c r="L30" s="36" t="s">
        <v>25</v>
      </c>
      <c r="M30" s="1" t="s">
        <v>36</v>
      </c>
      <c r="W30" s="36" t="s">
        <v>25</v>
      </c>
      <c r="X30" s="1" t="s">
        <v>36</v>
      </c>
    </row>
    <row r="31" spans="13:24">
      <c r="M31" s="1" t="s">
        <v>37</v>
      </c>
      <c r="X31" s="1" t="s">
        <v>38</v>
      </c>
    </row>
    <row r="32" spans="13:24">
      <c r="M32" s="1" t="s">
        <v>39</v>
      </c>
      <c r="X32" s="1" t="s">
        <v>40</v>
      </c>
    </row>
    <row r="33" spans="13:24">
      <c r="M33" s="1" t="s">
        <v>41</v>
      </c>
      <c r="X33" s="1" t="s">
        <v>42</v>
      </c>
    </row>
    <row r="34" spans="13:24">
      <c r="M34" s="1" t="s">
        <v>43</v>
      </c>
      <c r="W34" s="36" t="s">
        <v>25</v>
      </c>
      <c r="X34" s="1" t="s">
        <v>44</v>
      </c>
    </row>
    <row r="35" spans="13:24">
      <c r="M35" s="1" t="s">
        <v>42</v>
      </c>
      <c r="X35" s="1" t="s">
        <v>45</v>
      </c>
    </row>
    <row r="36" spans="12:24">
      <c r="L36" s="36" t="s">
        <v>25</v>
      </c>
      <c r="M36" s="1" t="s">
        <v>46</v>
      </c>
      <c r="X36" s="1" t="s">
        <v>47</v>
      </c>
    </row>
    <row r="37" spans="13:24">
      <c r="M37" s="1" t="s">
        <v>48</v>
      </c>
      <c r="W37" s="36" t="s">
        <v>25</v>
      </c>
      <c r="X37" s="1" t="s">
        <v>49</v>
      </c>
    </row>
    <row r="38" spans="13:24">
      <c r="M38" s="1" t="s">
        <v>50</v>
      </c>
      <c r="X38" s="1" t="s">
        <v>50</v>
      </c>
    </row>
    <row r="39" ht="61.5" spans="12:23">
      <c r="L39" s="36" t="s">
        <v>25</v>
      </c>
      <c r="M39" s="1" t="s">
        <v>51</v>
      </c>
      <c r="O39" s="1" t="str">
        <f>_xlfn.DISPIMG("ID_E3EA1DDE53F245219ACD7BFFACD75982",1)</f>
        <v>=DISPIMG("ID_E3EA1DDE53F245219ACD7BFFACD75982",1)</v>
      </c>
      <c r="W39" s="1" t="s">
        <v>52</v>
      </c>
    </row>
    <row r="40" spans="23:24">
      <c r="W40" s="36" t="s">
        <v>25</v>
      </c>
      <c r="X40" s="1" t="s">
        <v>44</v>
      </c>
    </row>
    <row r="41" spans="2:24">
      <c r="B41" s="35"/>
      <c r="L41" s="1" t="s">
        <v>52</v>
      </c>
      <c r="X41" s="1" t="s">
        <v>45</v>
      </c>
    </row>
    <row r="42" spans="12:26">
      <c r="L42" s="36" t="s">
        <v>25</v>
      </c>
      <c r="M42" s="1" t="s">
        <v>44</v>
      </c>
      <c r="O42"/>
      <c r="X42" s="1" t="s">
        <v>47</v>
      </c>
      <c r="Z42"/>
    </row>
    <row r="43" spans="13:24">
      <c r="M43" s="1" t="s">
        <v>45</v>
      </c>
      <c r="W43" s="36" t="s">
        <v>25</v>
      </c>
      <c r="X43" s="1" t="s">
        <v>53</v>
      </c>
    </row>
    <row r="44" spans="13:24">
      <c r="M44" s="1" t="s">
        <v>47</v>
      </c>
      <c r="W44" s="36"/>
      <c r="X44" s="1" t="s">
        <v>54</v>
      </c>
    </row>
    <row r="45" spans="12:24">
      <c r="L45" s="36" t="s">
        <v>25</v>
      </c>
      <c r="M45" s="1" t="s">
        <v>53</v>
      </c>
      <c r="X45" s="1" t="s">
        <v>55</v>
      </c>
    </row>
    <row r="46" spans="12:23">
      <c r="L46" s="36"/>
      <c r="M46" s="1" t="s">
        <v>54</v>
      </c>
      <c r="S46"/>
      <c r="W46" s="1" t="s">
        <v>56</v>
      </c>
    </row>
    <row r="47" spans="13:29">
      <c r="M47" s="1" t="s">
        <v>55</v>
      </c>
      <c r="Q47"/>
      <c r="W47" s="36" t="s">
        <v>25</v>
      </c>
      <c r="X47" s="1" t="s">
        <v>57</v>
      </c>
      <c r="AC47"/>
    </row>
    <row r="48" spans="23:24">
      <c r="W48" s="36" t="s">
        <v>25</v>
      </c>
      <c r="X48" s="1" t="s">
        <v>58</v>
      </c>
    </row>
    <row r="49" spans="12:28">
      <c r="L49" s="1" t="s">
        <v>56</v>
      </c>
      <c r="W49" s="36" t="s">
        <v>25</v>
      </c>
      <c r="X49" s="1" t="s">
        <v>59</v>
      </c>
      <c r="AB49"/>
    </row>
    <row r="50" ht="22.5" spans="2:24">
      <c r="B50" s="34" t="s">
        <v>60</v>
      </c>
      <c r="C50" s="34"/>
      <c r="D50" s="34"/>
      <c r="E50" s="34"/>
      <c r="F50" s="34"/>
      <c r="G50" s="34"/>
      <c r="L50" s="36" t="s">
        <v>25</v>
      </c>
      <c r="M50" s="1" t="s">
        <v>57</v>
      </c>
      <c r="W50" s="36" t="s">
        <v>25</v>
      </c>
      <c r="X50" s="1" t="s">
        <v>61</v>
      </c>
    </row>
    <row r="51" spans="12:23">
      <c r="L51" s="1" t="s">
        <v>62</v>
      </c>
      <c r="W51" s="1" t="s">
        <v>62</v>
      </c>
    </row>
    <row r="52" spans="12:24">
      <c r="L52" s="36" t="s">
        <v>25</v>
      </c>
      <c r="M52" s="37" t="s">
        <v>63</v>
      </c>
      <c r="W52" s="36" t="s">
        <v>25</v>
      </c>
      <c r="X52" s="37" t="s">
        <v>63</v>
      </c>
    </row>
    <row r="53" spans="12:24">
      <c r="L53" s="36" t="s">
        <v>25</v>
      </c>
      <c r="M53" s="1" t="s">
        <v>64</v>
      </c>
      <c r="W53" s="36" t="s">
        <v>25</v>
      </c>
      <c r="X53" s="1" t="s">
        <v>64</v>
      </c>
    </row>
    <row r="54" spans="12:24">
      <c r="L54" s="36" t="s">
        <v>25</v>
      </c>
      <c r="M54" s="1" t="s">
        <v>65</v>
      </c>
      <c r="W54" s="36" t="s">
        <v>25</v>
      </c>
      <c r="X54" s="1" t="s">
        <v>65</v>
      </c>
    </row>
    <row r="55" spans="12:24">
      <c r="L55" s="3" t="s">
        <v>11</v>
      </c>
      <c r="M55" s="1" t="s">
        <v>66</v>
      </c>
      <c r="W55" s="3" t="s">
        <v>11</v>
      </c>
      <c r="X55" s="1" t="s">
        <v>66</v>
      </c>
    </row>
    <row r="56" spans="12:28">
      <c r="L56" s="3" t="s">
        <v>11</v>
      </c>
      <c r="M56" s="1" t="s">
        <v>67</v>
      </c>
      <c r="W56" s="3" t="s">
        <v>11</v>
      </c>
      <c r="X56" s="1" t="s">
        <v>67</v>
      </c>
      <c r="AB56"/>
    </row>
    <row r="57" spans="12:24">
      <c r="L57" s="3" t="s">
        <v>11</v>
      </c>
      <c r="M57" s="1" t="s">
        <v>68</v>
      </c>
      <c r="W57" s="3" t="s">
        <v>11</v>
      </c>
      <c r="X57" s="1" t="s">
        <v>68</v>
      </c>
    </row>
    <row r="58" spans="13:24">
      <c r="M58" s="1" t="s">
        <v>69</v>
      </c>
      <c r="X58" s="1" t="s">
        <v>69</v>
      </c>
    </row>
    <row r="59" spans="2:24">
      <c r="B59"/>
      <c r="J59"/>
      <c r="M59" s="1" t="s">
        <v>70</v>
      </c>
      <c r="X59" s="1" t="s">
        <v>70</v>
      </c>
    </row>
    <row r="60" spans="2:12">
      <c r="B60"/>
      <c r="L60" s="36"/>
    </row>
    <row r="66" spans="12:23">
      <c r="L66" s="1" t="s">
        <v>71</v>
      </c>
      <c r="W66" s="1" t="s">
        <v>71</v>
      </c>
    </row>
    <row r="67" spans="12:24">
      <c r="L67" s="36" t="s">
        <v>25</v>
      </c>
      <c r="M67" s="1" t="s">
        <v>72</v>
      </c>
      <c r="W67" s="36" t="s">
        <v>25</v>
      </c>
      <c r="X67" s="1" t="s">
        <v>72</v>
      </c>
    </row>
    <row r="75" ht="22.5" spans="2:7">
      <c r="B75" s="34"/>
      <c r="C75" s="34"/>
      <c r="D75" s="34"/>
      <c r="E75" s="34"/>
      <c r="F75" s="34"/>
      <c r="G75" s="34"/>
    </row>
    <row r="78" spans="12:24">
      <c r="L78" s="36"/>
      <c r="W78" s="1" t="s">
        <v>73</v>
      </c>
      <c r="X78" s="1" t="s">
        <v>74</v>
      </c>
    </row>
    <row r="79" spans="22:25">
      <c r="V79" s="3" t="s">
        <v>75</v>
      </c>
      <c r="W79" s="3" t="s">
        <v>76</v>
      </c>
      <c r="X79" s="3"/>
      <c r="Y79" s="3"/>
    </row>
    <row r="80" spans="12:28">
      <c r="L80" s="3"/>
      <c r="V80" s="3"/>
      <c r="W80" s="42" t="s">
        <v>77</v>
      </c>
      <c r="Z80" s="1" t="s">
        <v>78</v>
      </c>
      <c r="AB80" s="3"/>
    </row>
    <row r="81" spans="12:28">
      <c r="L81" s="3"/>
      <c r="V81" s="3"/>
      <c r="W81" s="1" t="s">
        <v>79</v>
      </c>
      <c r="Z81" s="42" t="s">
        <v>80</v>
      </c>
      <c r="AB81" s="3"/>
    </row>
    <row r="82" spans="12:24">
      <c r="L82" s="3"/>
      <c r="V82" s="3"/>
      <c r="X82" s="1" t="s">
        <v>81</v>
      </c>
    </row>
    <row r="83" ht="51.5" spans="22:28">
      <c r="V83" s="3"/>
      <c r="X83" s="1" t="s">
        <v>82</v>
      </c>
      <c r="AB83" s="1" t="str">
        <f>_xlfn.DISPIMG("ID_9E1253F9A943485A82272F31F0291D82",1)</f>
        <v>=DISPIMG("ID_9E1253F9A943485A82272F31F0291D82",1)</v>
      </c>
    </row>
    <row r="84" spans="12:25">
      <c r="L84" s="3"/>
      <c r="V84" s="3"/>
      <c r="W84" s="3" t="s">
        <v>83</v>
      </c>
      <c r="X84" s="3"/>
      <c r="Y84" s="3"/>
    </row>
    <row r="85" spans="12:26">
      <c r="L85" s="3"/>
      <c r="V85" s="3"/>
      <c r="W85" s="42" t="s">
        <v>84</v>
      </c>
      <c r="Z85" s="42" t="s">
        <v>85</v>
      </c>
    </row>
    <row r="86" spans="22:26">
      <c r="V86" s="3"/>
      <c r="W86" s="42" t="s">
        <v>86</v>
      </c>
      <c r="Z86" s="42" t="s">
        <v>87</v>
      </c>
    </row>
    <row r="87" spans="12:24">
      <c r="L87" s="3"/>
      <c r="V87" s="3"/>
      <c r="X87" s="1" t="s">
        <v>88</v>
      </c>
    </row>
    <row r="88" ht="64.4" spans="12:31">
      <c r="L88" s="3"/>
      <c r="V88" s="3"/>
      <c r="X88" s="1" t="s">
        <v>89</v>
      </c>
      <c r="AD88" s="1" t="str">
        <f>_xlfn.DISPIMG("ID_C186209E1F7D4AEE9DBBBE51E2737684",1)</f>
        <v>=DISPIMG("ID_C186209E1F7D4AEE9DBBBE51E2737684",1)</v>
      </c>
      <c r="AE88" s="1" t="str">
        <f>_xlfn.DISPIMG("ID_7A6B673C83CA47FBAC549BF825D4386A",1)</f>
        <v>=DISPIMG("ID_7A6B673C83CA47FBAC549BF825D4386A",1)</v>
      </c>
    </row>
    <row r="89" spans="12:12">
      <c r="L89" s="3"/>
    </row>
    <row r="92" spans="22:25">
      <c r="V92" s="3" t="s">
        <v>90</v>
      </c>
      <c r="W92" s="3" t="s">
        <v>76</v>
      </c>
      <c r="X92" s="3"/>
      <c r="Y92" s="3"/>
    </row>
    <row r="93" spans="12:27">
      <c r="L93" s="3"/>
      <c r="V93" s="3"/>
      <c r="W93" s="42" t="s">
        <v>91</v>
      </c>
      <c r="Z93" s="42" t="s">
        <v>92</v>
      </c>
      <c r="AA93" s="1" t="s">
        <v>93</v>
      </c>
    </row>
    <row r="94" spans="22:26">
      <c r="V94" s="3"/>
      <c r="W94" s="1" t="s">
        <v>94</v>
      </c>
      <c r="Z94" s="42" t="s">
        <v>95</v>
      </c>
    </row>
    <row r="95" spans="22:24">
      <c r="V95" s="3"/>
      <c r="X95" s="1" t="s">
        <v>96</v>
      </c>
    </row>
    <row r="96" ht="48.7" spans="22:29">
      <c r="V96" s="3"/>
      <c r="X96" s="1" t="s">
        <v>97</v>
      </c>
      <c r="AC96" s="1" t="str">
        <f>_xlfn.DISPIMG("ID_3F9A17B35A4646D6B5423F2FF9AA1D85",1)</f>
        <v>=DISPIMG("ID_3F9A17B35A4646D6B5423F2FF9AA1D85",1)</v>
      </c>
    </row>
    <row r="97" spans="22:22">
      <c r="V97" s="3"/>
    </row>
    <row r="98" spans="22:25">
      <c r="V98" s="3"/>
      <c r="W98" s="3" t="s">
        <v>83</v>
      </c>
      <c r="X98" s="3"/>
      <c r="Y98" s="3"/>
    </row>
    <row r="99" spans="22:25">
      <c r="V99" s="3"/>
      <c r="W99" s="42" t="s">
        <v>98</v>
      </c>
      <c r="Y99" s="42" t="s">
        <v>99</v>
      </c>
    </row>
    <row r="100" spans="22:25">
      <c r="V100" s="3"/>
      <c r="W100" s="42" t="s">
        <v>100</v>
      </c>
      <c r="Y100" s="42" t="s">
        <v>101</v>
      </c>
    </row>
    <row r="101" ht="37.05" spans="22:29">
      <c r="V101" s="3"/>
      <c r="X101" s="1" t="s">
        <v>102</v>
      </c>
      <c r="AC101" s="1" t="str">
        <f>_xlfn.DISPIMG("ID_D085E41CDC394105B39148E882A32B8C",1)</f>
        <v>=DISPIMG("ID_D085E41CDC394105B39148E882A32B8C",1)</v>
      </c>
    </row>
    <row r="102" spans="22:24">
      <c r="V102" s="3"/>
      <c r="X102" s="1" t="s">
        <v>103</v>
      </c>
    </row>
    <row r="103" spans="22:22">
      <c r="V103" s="3"/>
    </row>
    <row r="106" spans="22:25">
      <c r="V106" s="3" t="s">
        <v>104</v>
      </c>
      <c r="W106" s="3" t="s">
        <v>76</v>
      </c>
      <c r="X106" s="3"/>
      <c r="Y106" s="3"/>
    </row>
    <row r="107" spans="22:25">
      <c r="V107" s="3"/>
      <c r="W107" s="42" t="s">
        <v>105</v>
      </c>
      <c r="Y107" s="42" t="s">
        <v>106</v>
      </c>
    </row>
    <row r="108" spans="22:25">
      <c r="V108" s="3"/>
      <c r="W108" s="42" t="s">
        <v>107</v>
      </c>
      <c r="Y108" s="42" t="s">
        <v>108</v>
      </c>
    </row>
    <row r="109" ht="22.5" spans="2:22">
      <c r="B109" s="34" t="s">
        <v>109</v>
      </c>
      <c r="C109" s="34"/>
      <c r="D109" s="34"/>
      <c r="E109" s="34"/>
      <c r="F109" s="34"/>
      <c r="G109" s="34"/>
      <c r="V109" s="3"/>
    </row>
    <row r="110" spans="22:24">
      <c r="V110" s="3"/>
      <c r="X110" s="1" t="s">
        <v>110</v>
      </c>
    </row>
    <row r="111" ht="45.65" spans="22:33">
      <c r="V111" s="3"/>
      <c r="X111" s="1" t="s">
        <v>111</v>
      </c>
      <c r="AF111" s="1" t="str">
        <f>_xlfn.DISPIMG("ID_3BD827B9C7C741219EC3DE6D419B5C39",1)</f>
        <v>=DISPIMG("ID_3BD827B9C7C741219EC3DE6D419B5C39",1)</v>
      </c>
      <c r="AG111" s="1" t="str">
        <f>_xlfn.DISPIMG("ID_F68D6474502D4389A57A79EAF888963F",1)</f>
        <v>=DISPIMG("ID_F68D6474502D4389A57A79EAF888963F",1)</v>
      </c>
    </row>
    <row r="112" spans="22:25">
      <c r="V112" s="3"/>
      <c r="W112" s="3" t="s">
        <v>83</v>
      </c>
      <c r="X112" s="3"/>
      <c r="Y112" s="3"/>
    </row>
    <row r="113" spans="22:25">
      <c r="V113" s="3"/>
      <c r="W113" s="42" t="s">
        <v>112</v>
      </c>
      <c r="Y113" s="42" t="s">
        <v>113</v>
      </c>
    </row>
    <row r="114" spans="22:25">
      <c r="V114" s="3"/>
      <c r="W114" s="42" t="s">
        <v>114</v>
      </c>
      <c r="Y114" s="42" t="s">
        <v>115</v>
      </c>
    </row>
    <row r="115" spans="22:22">
      <c r="V115" s="3"/>
    </row>
    <row r="116" spans="24:24">
      <c r="X116" s="1" t="s">
        <v>116</v>
      </c>
    </row>
    <row r="117" spans="24:24">
      <c r="X117" s="1" t="s">
        <v>117</v>
      </c>
    </row>
    <row r="119" ht="69.2" spans="32:33">
      <c r="AF119" s="1" t="str">
        <f>_xlfn.DISPIMG("ID_1BBFDE223095497AA02EAA24F1F98B90",1)</f>
        <v>=DISPIMG("ID_1BBFDE223095497AA02EAA24F1F98B90",1)</v>
      </c>
      <c r="AG119" s="1" t="str">
        <f>_xlfn.DISPIMG("ID_532E123643654435B8E0781A5CE7D5C3",1)</f>
        <v>=DISPIMG("ID_532E123643654435B8E0781A5CE7D5C3",1)</v>
      </c>
    </row>
  </sheetData>
  <mergeCells count="15">
    <mergeCell ref="B3:G3"/>
    <mergeCell ref="B18:G18"/>
    <mergeCell ref="B50:G50"/>
    <mergeCell ref="B75:G75"/>
    <mergeCell ref="W79:Y79"/>
    <mergeCell ref="W84:Y84"/>
    <mergeCell ref="W92:Y92"/>
    <mergeCell ref="W98:Y98"/>
    <mergeCell ref="W106:Y106"/>
    <mergeCell ref="B109:G109"/>
    <mergeCell ref="W112:Y112"/>
    <mergeCell ref="V79:V88"/>
    <mergeCell ref="V92:V103"/>
    <mergeCell ref="V106:V115"/>
    <mergeCell ref="AB80:AB81"/>
  </mergeCells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7"/>
  <sheetViews>
    <sheetView topLeftCell="F3" workbookViewId="0">
      <selection activeCell="K5" sqref="K5"/>
    </sheetView>
  </sheetViews>
  <sheetFormatPr defaultColWidth="9" defaultRowHeight="13.5" outlineLevelRow="6"/>
  <cols>
    <col min="3" max="3" width="14.375" customWidth="1"/>
    <col min="7" max="7" width="29.875" customWidth="1"/>
    <col min="8" max="8" width="32.75" customWidth="1"/>
    <col min="9" max="9" width="30" customWidth="1"/>
    <col min="10" max="10" width="20.25" customWidth="1"/>
    <col min="11" max="11" width="21.375" customWidth="1"/>
    <col min="12" max="12" width="34" customWidth="1"/>
  </cols>
  <sheetData>
    <row r="1" spans="1:12">
      <c r="A1" s="20" t="s">
        <v>118</v>
      </c>
      <c r="B1" s="20" t="s">
        <v>119</v>
      </c>
      <c r="C1" s="20" t="s">
        <v>120</v>
      </c>
      <c r="D1" s="20" t="s">
        <v>121</v>
      </c>
      <c r="E1" s="20" t="s">
        <v>122</v>
      </c>
      <c r="F1" s="20" t="s">
        <v>123</v>
      </c>
      <c r="G1" s="20" t="s">
        <v>124</v>
      </c>
      <c r="H1" s="20" t="s">
        <v>125</v>
      </c>
      <c r="I1" s="26" t="s">
        <v>126</v>
      </c>
      <c r="J1" s="26" t="s">
        <v>127</v>
      </c>
      <c r="K1" s="26" t="s">
        <v>128</v>
      </c>
      <c r="L1" s="26" t="s">
        <v>129</v>
      </c>
    </row>
    <row r="2" s="18" customFormat="1" ht="140.9" spans="1:12">
      <c r="A2" s="21" t="s">
        <v>75</v>
      </c>
      <c r="B2" s="21" t="s">
        <v>130</v>
      </c>
      <c r="C2" s="21" t="s">
        <v>131</v>
      </c>
      <c r="D2" s="21" t="s">
        <v>132</v>
      </c>
      <c r="E2" s="21" t="s">
        <v>133</v>
      </c>
      <c r="F2" s="21" t="s">
        <v>134</v>
      </c>
      <c r="G2" s="22" t="s">
        <v>135</v>
      </c>
      <c r="H2" s="22" t="s">
        <v>82</v>
      </c>
      <c r="I2" s="27" t="s">
        <v>136</v>
      </c>
      <c r="J2" s="27" t="s">
        <v>137</v>
      </c>
      <c r="K2" s="27"/>
      <c r="L2" s="28" t="str">
        <f>_xlfn.DISPIMG("ID_9E1253F9A943485A82272F31F0291D82",1)</f>
        <v>=DISPIMG("ID_9E1253F9A943485A82272F31F0291D82",1)</v>
      </c>
    </row>
    <row r="3" s="18" customFormat="1" ht="175.5" spans="1:13">
      <c r="A3" s="21" t="s">
        <v>75</v>
      </c>
      <c r="B3" s="21" t="s">
        <v>130</v>
      </c>
      <c r="C3" s="21" t="s">
        <v>138</v>
      </c>
      <c r="D3" s="21" t="s">
        <v>132</v>
      </c>
      <c r="E3" s="21" t="s">
        <v>133</v>
      </c>
      <c r="F3" s="21" t="s">
        <v>134</v>
      </c>
      <c r="G3" s="22" t="s">
        <v>139</v>
      </c>
      <c r="H3" s="22" t="s">
        <v>140</v>
      </c>
      <c r="I3" s="27" t="s">
        <v>136</v>
      </c>
      <c r="J3" s="27" t="s">
        <v>141</v>
      </c>
      <c r="K3" s="29"/>
      <c r="L3" s="28" t="str">
        <f>_xlfn.DISPIMG("ID_C186209E1F7D4AEE9DBBBE51E2737684",1)</f>
        <v>=DISPIMG("ID_C186209E1F7D4AEE9DBBBE51E2737684",1)</v>
      </c>
      <c r="M3" s="28" t="str">
        <f>_xlfn.DISPIMG("ID_7A6B673C83CA47FBAC549BF825D4386A",1)</f>
        <v>=DISPIMG("ID_7A6B673C83CA47FBAC549BF825D4386A",1)</v>
      </c>
    </row>
    <row r="4" ht="131.05" spans="1:12">
      <c r="A4" s="23" t="s">
        <v>90</v>
      </c>
      <c r="B4" s="23" t="s">
        <v>130</v>
      </c>
      <c r="C4" s="23" t="s">
        <v>142</v>
      </c>
      <c r="D4" s="23" t="s">
        <v>132</v>
      </c>
      <c r="E4" s="23" t="s">
        <v>133</v>
      </c>
      <c r="F4" s="23" t="s">
        <v>143</v>
      </c>
      <c r="G4" s="24" t="s">
        <v>144</v>
      </c>
      <c r="H4" s="24" t="s">
        <v>145</v>
      </c>
      <c r="I4" s="30" t="s">
        <v>146</v>
      </c>
      <c r="J4" s="31" t="s">
        <v>137</v>
      </c>
      <c r="K4" s="30"/>
      <c r="L4" s="1" t="str">
        <f>_xlfn.DISPIMG("ID_3F9A17B35A4646D6B5423F2FF9AA1D85",1)</f>
        <v>=DISPIMG("ID_3F9A17B35A4646D6B5423F2FF9AA1D85",1)</v>
      </c>
    </row>
    <row r="5" ht="98.8" spans="1:12">
      <c r="A5" s="23" t="s">
        <v>90</v>
      </c>
      <c r="B5" s="23" t="s">
        <v>130</v>
      </c>
      <c r="C5" s="23" t="s">
        <v>142</v>
      </c>
      <c r="D5" s="23" t="s">
        <v>132</v>
      </c>
      <c r="E5" s="23" t="s">
        <v>133</v>
      </c>
      <c r="F5" s="23" t="s">
        <v>147</v>
      </c>
      <c r="G5" s="24" t="s">
        <v>148</v>
      </c>
      <c r="H5" s="24" t="s">
        <v>149</v>
      </c>
      <c r="I5" s="30" t="s">
        <v>150</v>
      </c>
      <c r="J5" s="31" t="s">
        <v>137</v>
      </c>
      <c r="K5" s="30"/>
      <c r="L5" s="1" t="str">
        <f>_xlfn.DISPIMG("ID_D085E41CDC394105B39148E882A32B8C",1)</f>
        <v>=DISPIMG("ID_D085E41CDC394105B39148E882A32B8C",1)</v>
      </c>
    </row>
    <row r="6" s="19" customFormat="1" ht="122.65" spans="1:13">
      <c r="A6" s="20" t="s">
        <v>104</v>
      </c>
      <c r="B6" s="20" t="s">
        <v>130</v>
      </c>
      <c r="C6" s="20" t="s">
        <v>142</v>
      </c>
      <c r="D6" s="20" t="s">
        <v>132</v>
      </c>
      <c r="E6" s="20" t="s">
        <v>133</v>
      </c>
      <c r="F6" s="20" t="s">
        <v>151</v>
      </c>
      <c r="G6" s="25" t="s">
        <v>152</v>
      </c>
      <c r="H6" s="25" t="s">
        <v>153</v>
      </c>
      <c r="I6" s="26" t="s">
        <v>154</v>
      </c>
      <c r="J6" s="32" t="s">
        <v>137</v>
      </c>
      <c r="K6" s="26"/>
      <c r="L6" s="1" t="str">
        <f>_xlfn.DISPIMG("ID_3BD827B9C7C741219EC3DE6D419B5C39",1)</f>
        <v>=DISPIMG("ID_3BD827B9C7C741219EC3DE6D419B5C39",1)</v>
      </c>
      <c r="M6" s="1" t="str">
        <f>_xlfn.DISPIMG("ID_F68D6474502D4389A57A79EAF888963F",1)</f>
        <v>=DISPIMG("ID_F68D6474502D4389A57A79EAF888963F",1)</v>
      </c>
    </row>
    <row r="7" s="19" customFormat="1" ht="117.3" spans="1:13">
      <c r="A7" s="20" t="s">
        <v>104</v>
      </c>
      <c r="B7" s="20" t="s">
        <v>130</v>
      </c>
      <c r="C7" s="20" t="s">
        <v>142</v>
      </c>
      <c r="D7" s="20" t="s">
        <v>132</v>
      </c>
      <c r="E7" s="20" t="s">
        <v>133</v>
      </c>
      <c r="F7" s="20" t="s">
        <v>155</v>
      </c>
      <c r="G7" s="25" t="s">
        <v>156</v>
      </c>
      <c r="H7" s="25" t="s">
        <v>157</v>
      </c>
      <c r="I7" s="26" t="s">
        <v>158</v>
      </c>
      <c r="J7" s="32" t="s">
        <v>137</v>
      </c>
      <c r="K7" s="26"/>
      <c r="L7" s="1" t="str">
        <f>_xlfn.DISPIMG("ID_1BBFDE223095497AA02EAA24F1F98B90",1)</f>
        <v>=DISPIMG("ID_1BBFDE223095497AA02EAA24F1F98B90",1)</v>
      </c>
      <c r="M7" s="1" t="str">
        <f>_xlfn.DISPIMG("ID_532E123643654435B8E0781A5CE7D5C3",1)</f>
        <v>=DISPIMG("ID_532E123643654435B8E0781A5CE7D5C3",1)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64"/>
  <sheetViews>
    <sheetView workbookViewId="0">
      <pane ySplit="1" topLeftCell="A2" activePane="bottomLeft" state="frozen"/>
      <selection/>
      <selection pane="bottomLeft" activeCell="P17" sqref="P17"/>
    </sheetView>
  </sheetViews>
  <sheetFormatPr defaultColWidth="9" defaultRowHeight="16.5"/>
  <cols>
    <col min="1" max="16384" width="9" style="1"/>
  </cols>
  <sheetData>
    <row r="1" s="16" customFormat="1" ht="30" customHeight="1" spans="1:1">
      <c r="A1" s="16" t="s">
        <v>159</v>
      </c>
    </row>
    <row r="3" ht="22.5" spans="2:7">
      <c r="B3" s="5" t="s">
        <v>160</v>
      </c>
      <c r="C3" s="5"/>
      <c r="D3" s="5"/>
      <c r="E3" s="5"/>
      <c r="F3" s="5"/>
      <c r="G3" s="5"/>
    </row>
    <row r="4" spans="1:10">
      <c r="A4" s="17"/>
      <c r="B4" s="17"/>
      <c r="C4" s="17"/>
      <c r="D4" s="17"/>
      <c r="E4" s="17"/>
      <c r="F4" s="17"/>
      <c r="G4" s="17"/>
      <c r="H4" s="17"/>
      <c r="I4" s="17"/>
      <c r="J4" s="17"/>
    </row>
    <row r="5" spans="1:11">
      <c r="A5" s="17"/>
      <c r="B5" s="17"/>
      <c r="C5" s="17"/>
      <c r="D5" s="17"/>
      <c r="E5" s="17"/>
      <c r="F5" s="17"/>
      <c r="G5" s="17"/>
      <c r="H5" s="17"/>
      <c r="I5" s="17"/>
      <c r="J5" s="17"/>
      <c r="K5" s="17"/>
    </row>
    <row r="6" spans="1:11">
      <c r="A6" s="17"/>
      <c r="B6" s="17"/>
      <c r="C6" s="17"/>
      <c r="D6" s="17"/>
      <c r="E6" s="17"/>
      <c r="F6" s="17"/>
      <c r="G6" s="17"/>
      <c r="H6" s="17"/>
      <c r="I6" s="17"/>
      <c r="J6" s="17"/>
      <c r="K6" s="17"/>
    </row>
    <row r="7" spans="1:11">
      <c r="A7" s="17"/>
      <c r="B7" s="17"/>
      <c r="C7" s="17"/>
      <c r="D7" s="17"/>
      <c r="E7" s="17"/>
      <c r="F7" s="17"/>
      <c r="G7" s="17"/>
      <c r="H7" s="17"/>
      <c r="I7" s="17"/>
      <c r="J7" s="17"/>
      <c r="K7" s="17"/>
    </row>
    <row r="8" spans="1:11">
      <c r="A8" s="17"/>
      <c r="B8" s="17"/>
      <c r="C8" s="17"/>
      <c r="D8" s="17"/>
      <c r="E8" s="17"/>
      <c r="F8" s="17"/>
      <c r="G8" s="17"/>
      <c r="H8" s="17"/>
      <c r="I8" s="17"/>
      <c r="J8" s="17"/>
      <c r="K8" s="17"/>
    </row>
    <row r="9" spans="1:11">
      <c r="A9" s="17"/>
      <c r="B9" s="17"/>
      <c r="C9" s="17"/>
      <c r="D9" s="17"/>
      <c r="E9" s="17"/>
      <c r="F9" s="17"/>
      <c r="G9" s="17"/>
      <c r="H9" s="17"/>
      <c r="I9" s="17"/>
      <c r="J9" s="17"/>
      <c r="K9" s="17"/>
    </row>
    <row r="10" spans="1:11">
      <c r="A10" s="17"/>
      <c r="B10" s="17"/>
      <c r="C10" s="17"/>
      <c r="D10" s="17"/>
      <c r="E10" s="17"/>
      <c r="F10" s="17"/>
      <c r="G10" s="17"/>
      <c r="H10" s="17"/>
      <c r="I10" s="17"/>
      <c r="J10" s="17"/>
      <c r="K10" s="17"/>
    </row>
    <row r="11" spans="1:11">
      <c r="A11" s="17"/>
      <c r="B11" s="17"/>
      <c r="C11" s="17"/>
      <c r="D11" s="17"/>
      <c r="E11" s="17"/>
      <c r="F11" s="17"/>
      <c r="G11" s="17"/>
      <c r="H11" s="17"/>
      <c r="I11" s="17"/>
      <c r="J11" s="17"/>
      <c r="K11" s="17"/>
    </row>
    <row r="12" spans="1:11">
      <c r="A12" s="17"/>
      <c r="B12" s="17"/>
      <c r="C12" s="17"/>
      <c r="D12" s="17"/>
      <c r="E12" s="17"/>
      <c r="F12" s="17"/>
      <c r="G12" s="17"/>
      <c r="H12" s="17"/>
      <c r="I12" s="17"/>
      <c r="J12" s="17"/>
      <c r="K12" s="17"/>
    </row>
    <row r="13" spans="1:11">
      <c r="A13" s="17"/>
      <c r="B13" s="17"/>
      <c r="C13" s="17"/>
      <c r="D13" s="17"/>
      <c r="E13" s="17"/>
      <c r="F13" s="17"/>
      <c r="G13" s="17"/>
      <c r="H13" s="17"/>
      <c r="I13" s="17"/>
      <c r="J13" s="17"/>
      <c r="K13" s="17"/>
    </row>
    <row r="14" spans="1:11">
      <c r="A14" s="17"/>
      <c r="B14" s="17"/>
      <c r="C14" s="17"/>
      <c r="D14" s="17"/>
      <c r="E14" s="17"/>
      <c r="F14" s="17"/>
      <c r="G14" s="17"/>
      <c r="H14" s="17"/>
      <c r="I14" s="17"/>
      <c r="J14" s="17"/>
      <c r="K14" s="17"/>
    </row>
    <row r="15" spans="1:11">
      <c r="A15" s="17"/>
      <c r="B15" s="17"/>
      <c r="C15" s="17"/>
      <c r="D15" s="17"/>
      <c r="E15" s="17"/>
      <c r="F15" s="17"/>
      <c r="G15" s="17"/>
      <c r="H15" s="17"/>
      <c r="I15" s="17"/>
      <c r="J15" s="17"/>
      <c r="K15" s="17"/>
    </row>
    <row r="16" spans="1:11">
      <c r="A16" s="17"/>
      <c r="B16" s="17"/>
      <c r="C16" s="17"/>
      <c r="D16" s="17"/>
      <c r="E16" s="17"/>
      <c r="F16" s="17"/>
      <c r="G16" s="17"/>
      <c r="H16" s="17"/>
      <c r="I16" s="17"/>
      <c r="J16" s="17"/>
      <c r="K16" s="17"/>
    </row>
    <row r="17" spans="1:11">
      <c r="A17" s="17"/>
      <c r="B17" s="17"/>
      <c r="C17" s="17"/>
      <c r="D17" s="17"/>
      <c r="E17" s="17"/>
      <c r="F17" s="17"/>
      <c r="G17" s="17"/>
      <c r="H17" s="17"/>
      <c r="I17" s="17"/>
      <c r="J17" s="17"/>
      <c r="K17" s="17"/>
    </row>
    <row r="18" spans="1:11">
      <c r="A18" s="17"/>
      <c r="B18" s="17"/>
      <c r="C18" s="17"/>
      <c r="D18" s="17"/>
      <c r="E18" s="17"/>
      <c r="F18" s="17"/>
      <c r="G18" s="17"/>
      <c r="H18" s="17"/>
      <c r="I18" s="17"/>
      <c r="J18" s="17"/>
      <c r="K18" s="17"/>
    </row>
    <row r="19" spans="1:11">
      <c r="A19" s="17"/>
      <c r="B19" s="17"/>
      <c r="C19" s="17"/>
      <c r="D19" s="17"/>
      <c r="E19" s="17"/>
      <c r="F19" s="17"/>
      <c r="G19" s="17"/>
      <c r="H19" s="17"/>
      <c r="I19" s="17"/>
      <c r="J19" s="17"/>
      <c r="K19" s="17"/>
    </row>
    <row r="20" spans="1:11">
      <c r="A20" s="17"/>
      <c r="B20" s="17"/>
      <c r="C20" s="17"/>
      <c r="D20" s="17"/>
      <c r="E20" s="17"/>
      <c r="F20" s="17"/>
      <c r="G20" s="17"/>
      <c r="H20" s="17"/>
      <c r="I20" s="17"/>
      <c r="J20" s="17"/>
      <c r="K20" s="17"/>
    </row>
    <row r="21" spans="1:12">
      <c r="A21" s="17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</row>
    <row r="22" spans="1:12">
      <c r="A22" s="17"/>
      <c r="B22" s="17"/>
      <c r="C22" s="17"/>
      <c r="D22" s="17"/>
      <c r="F22" s="17"/>
      <c r="G22" s="17"/>
      <c r="H22" s="17"/>
      <c r="I22" s="17"/>
      <c r="J22" s="17"/>
      <c r="K22" s="17"/>
      <c r="L22" s="17"/>
    </row>
    <row r="23" spans="1:12">
      <c r="A23" s="17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</row>
    <row r="24" spans="1:12">
      <c r="A24" s="17"/>
      <c r="B24" s="17"/>
      <c r="H24" s="17"/>
      <c r="I24" s="17"/>
      <c r="J24" s="17"/>
      <c r="K24" s="17"/>
      <c r="L24" s="17"/>
    </row>
    <row r="25" spans="1:12">
      <c r="A25" s="17"/>
      <c r="B25" s="17"/>
      <c r="H25" s="17"/>
      <c r="I25" s="17"/>
      <c r="J25" s="17"/>
      <c r="K25" s="17"/>
      <c r="L25" s="17"/>
    </row>
    <row r="26" spans="1:12">
      <c r="A26" s="17"/>
      <c r="B26" s="17"/>
      <c r="H26" s="17"/>
      <c r="I26" s="17"/>
      <c r="J26" s="17"/>
      <c r="K26" s="17"/>
      <c r="L26" s="17"/>
    </row>
    <row r="27" spans="1:12">
      <c r="A27" s="17"/>
      <c r="B27" s="17"/>
      <c r="H27" s="17"/>
      <c r="I27" s="17"/>
      <c r="J27" s="17"/>
      <c r="K27" s="17"/>
      <c r="L27" s="17"/>
    </row>
    <row r="28" spans="1:12">
      <c r="A28" s="17"/>
      <c r="B28" s="17"/>
      <c r="H28" s="17"/>
      <c r="I28" s="17"/>
      <c r="J28" s="17"/>
      <c r="K28" s="17"/>
      <c r="L28" s="17"/>
    </row>
    <row r="29" spans="1:12">
      <c r="A29" s="17"/>
      <c r="B29" s="17"/>
      <c r="H29" s="17"/>
      <c r="I29" s="17"/>
      <c r="J29" s="17"/>
      <c r="K29" s="17"/>
      <c r="L29" s="17"/>
    </row>
    <row r="30" spans="1:12">
      <c r="A30" s="17"/>
      <c r="B30" s="17"/>
      <c r="H30" s="17"/>
      <c r="I30" s="17"/>
      <c r="J30" s="17"/>
      <c r="K30" s="17"/>
      <c r="L30" s="17"/>
    </row>
    <row r="31" spans="1:12">
      <c r="A31" s="17"/>
      <c r="B31" s="17"/>
      <c r="H31" s="17"/>
      <c r="I31" s="17"/>
      <c r="J31" s="17"/>
      <c r="K31" s="17"/>
      <c r="L31" s="17"/>
    </row>
    <row r="32" spans="1:12">
      <c r="A32" s="17"/>
      <c r="B32" s="17"/>
      <c r="H32" s="17"/>
      <c r="I32" s="17"/>
      <c r="J32" s="17"/>
      <c r="K32" s="17"/>
      <c r="L32" s="17"/>
    </row>
    <row r="33" spans="1:12">
      <c r="A33" s="17"/>
      <c r="B33" s="17"/>
      <c r="H33" s="17"/>
      <c r="I33" s="17"/>
      <c r="J33" s="17"/>
      <c r="K33" s="17"/>
      <c r="L33" s="17"/>
    </row>
    <row r="34" spans="1:12">
      <c r="A34" s="17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</row>
    <row r="35" spans="1:12">
      <c r="A35" s="17"/>
      <c r="B35" s="17"/>
      <c r="C35" s="17"/>
      <c r="D35" s="17"/>
      <c r="E35" s="17"/>
      <c r="F35" s="17"/>
      <c r="G35" s="17"/>
      <c r="H35" s="17"/>
      <c r="I35" s="17"/>
      <c r="J35" s="17"/>
      <c r="L35" s="17"/>
    </row>
    <row r="36" spans="1:12">
      <c r="A36" s="17"/>
      <c r="B36" s="17"/>
      <c r="C36" s="17"/>
      <c r="D36" s="17"/>
      <c r="E36" s="17"/>
      <c r="F36" s="17"/>
      <c r="G36" s="17"/>
      <c r="H36" s="17"/>
      <c r="I36" s="17"/>
      <c r="J36" s="17"/>
      <c r="L36" s="17"/>
    </row>
    <row r="37" spans="1:12">
      <c r="A37" s="17"/>
      <c r="B37" s="17"/>
      <c r="C37" s="17"/>
      <c r="D37" s="17"/>
      <c r="E37" s="17"/>
      <c r="F37" s="17"/>
      <c r="G37" s="17"/>
      <c r="H37" s="17"/>
      <c r="I37" s="17"/>
      <c r="J37" s="17"/>
      <c r="L37" s="17"/>
    </row>
    <row r="38" spans="1:12">
      <c r="A38" s="17"/>
      <c r="B38" s="17"/>
      <c r="C38" s="17"/>
      <c r="D38" s="17"/>
      <c r="E38" s="17"/>
      <c r="F38" s="17"/>
      <c r="G38" s="17"/>
      <c r="H38" s="17"/>
      <c r="I38" s="17"/>
      <c r="L38" s="17"/>
    </row>
    <row r="39" spans="1:12">
      <c r="A39" s="17"/>
      <c r="B39" s="17"/>
      <c r="C39" s="17"/>
      <c r="D39" s="17"/>
      <c r="E39" s="17"/>
      <c r="F39" s="17"/>
      <c r="G39" s="17"/>
      <c r="H39" s="17"/>
      <c r="I39" s="17"/>
      <c r="L39" s="17"/>
    </row>
    <row r="40" spans="1:12">
      <c r="A40" s="17"/>
      <c r="B40" s="17"/>
      <c r="C40" s="17"/>
      <c r="D40" s="17"/>
      <c r="E40" s="17"/>
      <c r="F40" s="17"/>
      <c r="G40" s="17"/>
      <c r="H40" s="17"/>
      <c r="I40" s="17"/>
      <c r="L40" s="17"/>
    </row>
    <row r="41" spans="1:12">
      <c r="A41" s="17"/>
      <c r="B41" s="17"/>
      <c r="C41" s="17"/>
      <c r="D41" s="17"/>
      <c r="E41" s="17"/>
      <c r="F41" s="17"/>
      <c r="G41" s="17"/>
      <c r="H41" s="17"/>
      <c r="I41" s="17"/>
      <c r="L41" s="17"/>
    </row>
    <row r="42" spans="1:12">
      <c r="A42" s="17"/>
      <c r="B42" s="17"/>
      <c r="C42" s="17"/>
      <c r="D42" s="17"/>
      <c r="E42" s="17"/>
      <c r="F42" s="17"/>
      <c r="G42" s="17"/>
      <c r="H42" s="17"/>
      <c r="I42" s="17"/>
      <c r="L42" s="17"/>
    </row>
    <row r="43" spans="1:12">
      <c r="A43" s="17"/>
      <c r="B43" s="17"/>
      <c r="C43" s="17"/>
      <c r="D43" s="17"/>
      <c r="E43" s="17"/>
      <c r="F43" s="17"/>
      <c r="G43" s="17"/>
      <c r="H43" s="17"/>
      <c r="I43" s="17"/>
      <c r="L43" s="17"/>
    </row>
    <row r="44" spans="2:12">
      <c r="B44" s="17"/>
      <c r="L44" s="17"/>
    </row>
    <row r="45" spans="2:12">
      <c r="B45" s="17"/>
      <c r="L45" s="17"/>
    </row>
    <row r="46" spans="2:12">
      <c r="B46" s="17"/>
      <c r="L46" s="17"/>
    </row>
    <row r="47" spans="2:12">
      <c r="B47" s="17"/>
      <c r="L47" s="17"/>
    </row>
    <row r="48" spans="2:12">
      <c r="B48" s="17"/>
      <c r="L48" s="17"/>
    </row>
    <row r="49" spans="2:12">
      <c r="B49" s="17"/>
      <c r="L49" s="17"/>
    </row>
    <row r="50" spans="2:12"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</row>
    <row r="52" spans="5:5">
      <c r="E52" s="17"/>
    </row>
    <row r="55" spans="4:6">
      <c r="D55" s="17"/>
      <c r="E55" s="17"/>
      <c r="F55" s="17"/>
    </row>
    <row r="56" spans="4:6">
      <c r="D56" s="17"/>
      <c r="E56" s="17"/>
      <c r="F56" s="17"/>
    </row>
    <row r="57" spans="4:6">
      <c r="D57" s="17"/>
      <c r="E57" s="17"/>
      <c r="F57" s="17"/>
    </row>
    <row r="58" spans="4:6">
      <c r="D58" s="17"/>
      <c r="E58" s="17"/>
      <c r="F58" s="17"/>
    </row>
    <row r="59" spans="4:6">
      <c r="D59" s="17"/>
      <c r="E59" s="17"/>
      <c r="F59" s="17"/>
    </row>
    <row r="60" spans="4:6">
      <c r="D60" s="17"/>
      <c r="E60" s="17"/>
      <c r="F60" s="17"/>
    </row>
    <row r="61" spans="4:6">
      <c r="D61" s="17"/>
      <c r="E61" s="17"/>
      <c r="F61" s="17"/>
    </row>
    <row r="62" spans="4:6">
      <c r="D62" s="17"/>
      <c r="E62" s="17"/>
      <c r="F62" s="17"/>
    </row>
    <row r="63" spans="4:6">
      <c r="D63" s="17"/>
      <c r="E63" s="17"/>
      <c r="F63" s="17"/>
    </row>
    <row r="64" spans="4:6">
      <c r="D64" s="17"/>
      <c r="E64" s="17"/>
      <c r="F64" s="17"/>
    </row>
  </sheetData>
  <mergeCells count="2">
    <mergeCell ref="A1:X1"/>
    <mergeCell ref="B3:G3"/>
  </mergeCells>
  <pageMargins left="0.75" right="0.75" top="1" bottom="1" header="0.5" footer="0.5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64"/>
  <sheetViews>
    <sheetView tabSelected="1" topLeftCell="A37" workbookViewId="0">
      <selection activeCell="F49" sqref="F49"/>
    </sheetView>
  </sheetViews>
  <sheetFormatPr defaultColWidth="9" defaultRowHeight="16.5"/>
  <cols>
    <col min="1" max="3" width="9" style="10"/>
    <col min="4" max="8" width="18.25" style="10" customWidth="1"/>
    <col min="9" max="16384" width="9" style="10"/>
  </cols>
  <sheetData>
    <row r="1" s="8" customFormat="1" ht="30" customHeight="1" spans="1:1">
      <c r="A1" s="8" t="s">
        <v>161</v>
      </c>
    </row>
    <row r="3" ht="22.5" spans="2:8">
      <c r="B3" s="11" t="s">
        <v>162</v>
      </c>
      <c r="C3" s="11"/>
      <c r="D3" s="11"/>
      <c r="E3" s="11"/>
      <c r="F3" s="11"/>
      <c r="G3" s="11"/>
      <c r="H3" s="11"/>
    </row>
    <row r="4" ht="63" customHeight="1" spans="2:19">
      <c r="B4" s="12" t="s">
        <v>163</v>
      </c>
      <c r="C4" s="12" t="s">
        <v>164</v>
      </c>
      <c r="D4" s="12" t="s">
        <v>165</v>
      </c>
      <c r="E4" s="12" t="s">
        <v>166</v>
      </c>
      <c r="F4" s="13" t="s">
        <v>167</v>
      </c>
      <c r="G4" s="13" t="s">
        <v>168</v>
      </c>
      <c r="H4" s="13" t="s">
        <v>159</v>
      </c>
      <c r="I4" s="9"/>
      <c r="J4" s="9"/>
      <c r="K4" s="9"/>
      <c r="L4" s="9"/>
      <c r="M4" s="9"/>
      <c r="N4" s="9"/>
      <c r="O4" s="9"/>
      <c r="P4" s="9"/>
      <c r="Q4" s="9"/>
      <c r="R4" s="9"/>
      <c r="S4" s="9"/>
    </row>
    <row r="5" ht="63" customHeight="1" spans="2:19">
      <c r="B5" s="12">
        <v>1</v>
      </c>
      <c r="C5" s="12" t="s">
        <v>169</v>
      </c>
      <c r="D5" s="12" t="s">
        <v>170</v>
      </c>
      <c r="E5" s="12" t="s">
        <v>171</v>
      </c>
      <c r="F5" s="12" t="s">
        <v>172</v>
      </c>
      <c r="G5" s="13"/>
      <c r="H5" s="13"/>
      <c r="I5" s="9"/>
      <c r="J5" s="9"/>
      <c r="K5" s="9"/>
      <c r="L5" s="9"/>
      <c r="M5" s="9"/>
      <c r="N5" s="9"/>
      <c r="O5" s="9"/>
      <c r="P5" s="9"/>
      <c r="Q5" s="9"/>
      <c r="R5" s="9"/>
      <c r="S5" s="9"/>
    </row>
    <row r="6" ht="63" customHeight="1" spans="2:19">
      <c r="B6" s="12">
        <v>2</v>
      </c>
      <c r="C6" s="12" t="s">
        <v>169</v>
      </c>
      <c r="D6" s="12" t="s">
        <v>173</v>
      </c>
      <c r="E6" s="12" t="s">
        <v>174</v>
      </c>
      <c r="F6" s="12" t="s">
        <v>172</v>
      </c>
      <c r="G6" s="13"/>
      <c r="H6" s="13"/>
      <c r="I6" s="9"/>
      <c r="J6" s="9"/>
      <c r="K6" s="9"/>
      <c r="L6" s="9"/>
      <c r="M6" s="9"/>
      <c r="N6" s="9"/>
      <c r="O6" s="9"/>
      <c r="P6" s="9"/>
      <c r="Q6" s="9"/>
      <c r="R6" s="9"/>
      <c r="S6" s="9"/>
    </row>
    <row r="7" ht="24" customHeight="1" spans="7:19"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</row>
    <row r="8" ht="22.5" spans="2:19">
      <c r="B8" s="11" t="s">
        <v>175</v>
      </c>
      <c r="C8" s="11"/>
      <c r="D8" s="11"/>
      <c r="E8" s="11"/>
      <c r="F8" s="11"/>
      <c r="G8" s="11"/>
      <c r="H8" s="11"/>
      <c r="I8" s="9"/>
      <c r="J8" s="9"/>
      <c r="K8" s="9"/>
      <c r="L8" s="9"/>
      <c r="M8" s="9"/>
      <c r="N8" s="9"/>
      <c r="O8" s="9"/>
      <c r="P8" s="9"/>
      <c r="Q8" s="9"/>
      <c r="R8" s="9"/>
      <c r="S8" s="9"/>
    </row>
    <row r="9" ht="63" customHeight="1" spans="2:19">
      <c r="B9" s="12" t="s">
        <v>163</v>
      </c>
      <c r="C9" s="12" t="s">
        <v>164</v>
      </c>
      <c r="D9" s="12" t="s">
        <v>165</v>
      </c>
      <c r="E9" s="12" t="s">
        <v>166</v>
      </c>
      <c r="F9" s="13" t="s">
        <v>167</v>
      </c>
      <c r="G9" s="13" t="s">
        <v>168</v>
      </c>
      <c r="H9" s="13" t="s">
        <v>159</v>
      </c>
      <c r="I9" s="9"/>
      <c r="J9" s="9"/>
      <c r="K9" s="9"/>
      <c r="L9" s="9"/>
      <c r="M9" s="9"/>
      <c r="N9" s="9"/>
      <c r="O9" s="9"/>
      <c r="P9" s="9"/>
      <c r="Q9" s="9"/>
      <c r="R9" s="9"/>
      <c r="S9" s="9"/>
    </row>
    <row r="10" ht="63" customHeight="1" spans="2:19">
      <c r="B10" s="12" t="s">
        <v>176</v>
      </c>
      <c r="C10" s="12"/>
      <c r="D10" s="12"/>
      <c r="E10" s="12"/>
      <c r="F10" s="12"/>
      <c r="G10" s="12"/>
      <c r="H10" s="12"/>
      <c r="L10" s="9"/>
      <c r="M10" s="9"/>
      <c r="N10" s="9"/>
      <c r="O10" s="9"/>
      <c r="P10" s="9"/>
      <c r="Q10" s="9"/>
      <c r="R10" s="9"/>
      <c r="S10" s="9"/>
    </row>
    <row r="11" ht="24" customHeight="1" spans="7:19"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</row>
    <row r="12" ht="22.5" spans="2:8">
      <c r="B12" s="11" t="s">
        <v>177</v>
      </c>
      <c r="C12" s="11"/>
      <c r="D12" s="11"/>
      <c r="E12" s="11"/>
      <c r="F12" s="11"/>
      <c r="G12" s="11"/>
      <c r="H12" s="11"/>
    </row>
    <row r="13" ht="63" customHeight="1" spans="2:19">
      <c r="B13" s="12" t="s">
        <v>163</v>
      </c>
      <c r="C13" s="12" t="s">
        <v>164</v>
      </c>
      <c r="D13" s="12" t="s">
        <v>178</v>
      </c>
      <c r="E13" s="12" t="s">
        <v>166</v>
      </c>
      <c r="F13" s="13" t="s">
        <v>167</v>
      </c>
      <c r="G13" s="13" t="s">
        <v>179</v>
      </c>
      <c r="H13" s="13" t="s">
        <v>159</v>
      </c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</row>
    <row r="14" ht="63" customHeight="1" spans="2:19">
      <c r="B14" s="12">
        <v>1</v>
      </c>
      <c r="C14" s="12" t="s">
        <v>180</v>
      </c>
      <c r="D14" s="12" t="s">
        <v>181</v>
      </c>
      <c r="E14" s="12" t="s">
        <v>182</v>
      </c>
      <c r="F14" s="12" t="s">
        <v>183</v>
      </c>
      <c r="G14" s="12"/>
      <c r="H14" s="12"/>
      <c r="L14" s="9"/>
      <c r="M14" s="9"/>
      <c r="N14" s="9"/>
      <c r="O14" s="9"/>
      <c r="P14" s="9"/>
      <c r="Q14" s="9"/>
      <c r="R14" s="9"/>
      <c r="S14" s="9"/>
    </row>
    <row r="15" ht="63" customHeight="1" spans="2:19">
      <c r="B15" s="12">
        <v>2</v>
      </c>
      <c r="C15" s="12" t="s">
        <v>180</v>
      </c>
      <c r="D15" s="12" t="s">
        <v>181</v>
      </c>
      <c r="E15" s="12" t="s">
        <v>184</v>
      </c>
      <c r="F15" s="12" t="s">
        <v>183</v>
      </c>
      <c r="G15" s="12"/>
      <c r="H15" s="12"/>
      <c r="L15" s="9"/>
      <c r="M15" s="9"/>
      <c r="N15" s="9"/>
      <c r="O15" s="9"/>
      <c r="P15" s="9"/>
      <c r="Q15" s="9"/>
      <c r="R15" s="9"/>
      <c r="S15" s="9"/>
    </row>
    <row r="16" ht="63" customHeight="1" spans="2:19">
      <c r="B16" s="12">
        <v>3</v>
      </c>
      <c r="C16" s="12" t="s">
        <v>180</v>
      </c>
      <c r="D16" s="12" t="s">
        <v>185</v>
      </c>
      <c r="E16" s="1" t="s">
        <v>186</v>
      </c>
      <c r="F16" s="1" t="s">
        <v>187</v>
      </c>
      <c r="G16" s="12"/>
      <c r="H16" s="12"/>
      <c r="L16" s="9"/>
      <c r="M16" s="9"/>
      <c r="N16" s="9"/>
      <c r="O16" s="9"/>
      <c r="P16" s="9"/>
      <c r="Q16" s="9"/>
      <c r="R16" s="9"/>
      <c r="S16" s="9"/>
    </row>
    <row r="17" ht="63" customHeight="1" spans="2:19">
      <c r="B17" s="12">
        <v>4</v>
      </c>
      <c r="C17" s="12" t="s">
        <v>180</v>
      </c>
      <c r="D17" s="12" t="s">
        <v>185</v>
      </c>
      <c r="E17" s="1" t="s">
        <v>188</v>
      </c>
      <c r="F17" s="1"/>
      <c r="L17" s="9"/>
      <c r="M17" s="9"/>
      <c r="N17" s="9"/>
      <c r="O17" s="9"/>
      <c r="P17" s="9"/>
      <c r="Q17" s="9"/>
      <c r="R17" s="9"/>
      <c r="S17" s="9"/>
    </row>
    <row r="18" ht="63" customHeight="1" spans="2:19">
      <c r="B18" s="12">
        <v>5</v>
      </c>
      <c r="C18" s="12" t="s">
        <v>180</v>
      </c>
      <c r="D18" s="12" t="s">
        <v>185</v>
      </c>
      <c r="E18" s="1" t="s">
        <v>189</v>
      </c>
      <c r="F18" s="1"/>
      <c r="L18" s="9"/>
      <c r="M18" s="9"/>
      <c r="N18" s="9"/>
      <c r="O18" s="9"/>
      <c r="P18" s="9"/>
      <c r="Q18" s="9"/>
      <c r="R18" s="9"/>
      <c r="S18" s="9"/>
    </row>
    <row r="19" ht="63" customHeight="1" spans="2:19">
      <c r="B19" s="12">
        <v>6</v>
      </c>
      <c r="C19" s="12" t="s">
        <v>180</v>
      </c>
      <c r="D19" s="12" t="s">
        <v>185</v>
      </c>
      <c r="E19" s="1" t="s">
        <v>190</v>
      </c>
      <c r="F19" s="1"/>
      <c r="L19" s="9"/>
      <c r="M19" s="9"/>
      <c r="N19" s="9"/>
      <c r="O19" s="9"/>
      <c r="P19" s="9"/>
      <c r="Q19" s="9"/>
      <c r="R19" s="9"/>
      <c r="S19" s="9"/>
    </row>
    <row r="20" ht="63" customHeight="1" spans="2:19">
      <c r="B20" s="12">
        <v>7</v>
      </c>
      <c r="C20" s="12" t="s">
        <v>180</v>
      </c>
      <c r="D20" s="12" t="s">
        <v>185</v>
      </c>
      <c r="E20" s="7" t="s">
        <v>191</v>
      </c>
      <c r="F20" s="1"/>
      <c r="L20" s="9"/>
      <c r="M20" s="9"/>
      <c r="N20" s="9"/>
      <c r="O20" s="9"/>
      <c r="P20" s="9"/>
      <c r="Q20" s="9"/>
      <c r="R20" s="9"/>
      <c r="S20" s="9"/>
    </row>
    <row r="21" ht="63" customHeight="1" spans="2:19">
      <c r="B21" s="12">
        <v>8</v>
      </c>
      <c r="C21" s="12" t="s">
        <v>180</v>
      </c>
      <c r="D21" s="12" t="s">
        <v>185</v>
      </c>
      <c r="E21" s="7" t="s">
        <v>192</v>
      </c>
      <c r="F21" s="1"/>
      <c r="L21" s="9"/>
      <c r="M21" s="9"/>
      <c r="N21" s="9"/>
      <c r="O21" s="9"/>
      <c r="P21" s="9"/>
      <c r="Q21" s="9"/>
      <c r="R21" s="9"/>
      <c r="S21" s="9"/>
    </row>
    <row r="22" ht="63" customHeight="1" spans="2:19">
      <c r="B22" s="12">
        <v>9</v>
      </c>
      <c r="C22" s="12" t="s">
        <v>180</v>
      </c>
      <c r="D22" s="12" t="s">
        <v>185</v>
      </c>
      <c r="E22" s="14" t="s">
        <v>193</v>
      </c>
      <c r="L22" s="9"/>
      <c r="M22" s="9"/>
      <c r="N22" s="9"/>
      <c r="O22" s="9"/>
      <c r="P22" s="9"/>
      <c r="Q22" s="9"/>
      <c r="R22" s="9"/>
      <c r="S22" s="9"/>
    </row>
    <row r="23" ht="63" customHeight="1" spans="2:19">
      <c r="B23" s="12">
        <v>10</v>
      </c>
      <c r="C23" s="12" t="s">
        <v>180</v>
      </c>
      <c r="D23" s="12" t="s">
        <v>185</v>
      </c>
      <c r="E23" s="14" t="s">
        <v>194</v>
      </c>
      <c r="L23" s="9"/>
      <c r="M23" s="9"/>
      <c r="N23" s="9"/>
      <c r="O23" s="9"/>
      <c r="P23" s="9"/>
      <c r="Q23" s="9"/>
      <c r="R23" s="9"/>
      <c r="S23" s="9"/>
    </row>
    <row r="24" ht="63" customHeight="1" spans="2:19">
      <c r="B24" s="12">
        <v>11</v>
      </c>
      <c r="C24" s="12" t="s">
        <v>180</v>
      </c>
      <c r="D24" s="12" t="s">
        <v>185</v>
      </c>
      <c r="E24" s="14" t="s">
        <v>195</v>
      </c>
      <c r="L24" s="9"/>
      <c r="M24" s="9"/>
      <c r="N24" s="9"/>
      <c r="O24" s="9"/>
      <c r="P24" s="9"/>
      <c r="Q24" s="9"/>
      <c r="R24" s="9"/>
      <c r="S24" s="9"/>
    </row>
    <row r="25" ht="63" customHeight="1" spans="2:19">
      <c r="B25" s="12">
        <v>12</v>
      </c>
      <c r="C25" s="12" t="s">
        <v>180</v>
      </c>
      <c r="D25" s="12" t="s">
        <v>185</v>
      </c>
      <c r="E25" s="1" t="s">
        <v>196</v>
      </c>
      <c r="F25" s="1" t="s">
        <v>197</v>
      </c>
      <c r="L25" s="9"/>
      <c r="M25" s="9"/>
      <c r="N25" s="9"/>
      <c r="O25" s="9"/>
      <c r="P25" s="9"/>
      <c r="Q25" s="9"/>
      <c r="R25" s="9"/>
      <c r="S25" s="9"/>
    </row>
    <row r="26" ht="63" customHeight="1" spans="2:19">
      <c r="B26" s="12">
        <v>13</v>
      </c>
      <c r="C26" s="12" t="s">
        <v>180</v>
      </c>
      <c r="D26" s="12" t="s">
        <v>185</v>
      </c>
      <c r="E26" s="1" t="s">
        <v>198</v>
      </c>
      <c r="F26" s="1"/>
      <c r="L26" s="9"/>
      <c r="M26" s="9"/>
      <c r="N26" s="9"/>
      <c r="O26" s="9"/>
      <c r="P26" s="9"/>
      <c r="Q26" s="9"/>
      <c r="R26" s="9"/>
      <c r="S26" s="9"/>
    </row>
    <row r="27" ht="63" customHeight="1" spans="2:19">
      <c r="B27" s="12">
        <v>14</v>
      </c>
      <c r="C27" s="12" t="s">
        <v>180</v>
      </c>
      <c r="D27" s="12" t="s">
        <v>185</v>
      </c>
      <c r="E27" s="1" t="s">
        <v>199</v>
      </c>
      <c r="F27" s="1"/>
      <c r="L27" s="9"/>
      <c r="M27" s="9"/>
      <c r="N27" s="9"/>
      <c r="O27" s="9"/>
      <c r="P27" s="9"/>
      <c r="Q27" s="9"/>
      <c r="R27" s="9"/>
      <c r="S27" s="9"/>
    </row>
    <row r="28" ht="24" customHeight="1" spans="2:19">
      <c r="B28" s="12">
        <v>15</v>
      </c>
      <c r="C28" s="12" t="s">
        <v>180</v>
      </c>
      <c r="D28" s="12" t="s">
        <v>185</v>
      </c>
      <c r="E28" s="1" t="s">
        <v>200</v>
      </c>
      <c r="F28" s="1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</row>
    <row r="29" ht="24" customHeight="1" spans="2:19">
      <c r="B29" s="12">
        <v>16</v>
      </c>
      <c r="C29" s="12" t="s">
        <v>180</v>
      </c>
      <c r="D29" s="12" t="s">
        <v>185</v>
      </c>
      <c r="E29" s="1" t="s">
        <v>201</v>
      </c>
      <c r="F29" s="1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</row>
    <row r="30" ht="24" customHeight="1" spans="2:19">
      <c r="B30" s="12">
        <v>17</v>
      </c>
      <c r="C30" s="12" t="s">
        <v>180</v>
      </c>
      <c r="D30" s="12" t="s">
        <v>185</v>
      </c>
      <c r="E30" s="1" t="s">
        <v>202</v>
      </c>
      <c r="F30" s="1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</row>
    <row r="31" ht="24" customHeight="1" spans="2:19">
      <c r="B31" s="12">
        <v>18</v>
      </c>
      <c r="C31" s="12" t="s">
        <v>180</v>
      </c>
      <c r="D31" s="12" t="s">
        <v>185</v>
      </c>
      <c r="E31" s="10" t="s">
        <v>203</v>
      </c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</row>
    <row r="32" ht="24" customHeight="1" spans="2:19">
      <c r="B32" s="12">
        <v>19</v>
      </c>
      <c r="C32" s="12" t="s">
        <v>180</v>
      </c>
      <c r="D32" s="12" t="s">
        <v>185</v>
      </c>
      <c r="E32" s="10" t="s">
        <v>204</v>
      </c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</row>
    <row r="33" ht="24" customHeight="1" spans="2:19">
      <c r="B33" s="12">
        <v>20</v>
      </c>
      <c r="C33" s="12" t="s">
        <v>180</v>
      </c>
      <c r="D33" s="12" t="s">
        <v>185</v>
      </c>
      <c r="E33" s="10" t="s">
        <v>205</v>
      </c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</row>
    <row r="34" ht="24" customHeight="1" spans="2:19">
      <c r="B34" s="12">
        <v>21</v>
      </c>
      <c r="C34" s="12" t="s">
        <v>180</v>
      </c>
      <c r="D34" s="12" t="s">
        <v>185</v>
      </c>
      <c r="E34" s="10" t="s">
        <v>206</v>
      </c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</row>
    <row r="35" ht="24" customHeight="1" spans="2:19">
      <c r="B35" s="12">
        <v>22</v>
      </c>
      <c r="C35" s="12" t="s">
        <v>180</v>
      </c>
      <c r="D35" s="12" t="s">
        <v>185</v>
      </c>
      <c r="E35" s="10" t="s">
        <v>207</v>
      </c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</row>
    <row r="36" ht="65" customHeight="1" spans="2:19">
      <c r="B36" s="12">
        <v>23</v>
      </c>
      <c r="C36" s="12" t="s">
        <v>180</v>
      </c>
      <c r="D36" s="12" t="s">
        <v>185</v>
      </c>
      <c r="E36" s="10" t="s">
        <v>207</v>
      </c>
      <c r="F36" s="1" t="s">
        <v>208</v>
      </c>
      <c r="G36" s="9"/>
      <c r="H36" s="9" t="str">
        <f>_xlfn.DISPIMG("ID_1B6BF64D3F2640068C3B0D641220E2C9",1)</f>
        <v>=DISPIMG("ID_1B6BF64D3F2640068C3B0D641220E2C9",1)</v>
      </c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</row>
    <row r="37" ht="24" customHeight="1" spans="2:19">
      <c r="B37" s="12">
        <v>24</v>
      </c>
      <c r="C37" s="12" t="s">
        <v>180</v>
      </c>
      <c r="D37" s="12" t="s">
        <v>185</v>
      </c>
      <c r="E37" s="10" t="s">
        <v>209</v>
      </c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</row>
    <row r="38" ht="24" customHeight="1" spans="2:19">
      <c r="B38" s="12">
        <v>25</v>
      </c>
      <c r="C38" s="12" t="s">
        <v>180</v>
      </c>
      <c r="D38" s="12" t="s">
        <v>185</v>
      </c>
      <c r="E38" s="10" t="s">
        <v>210</v>
      </c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</row>
    <row r="39" ht="24" customHeight="1" spans="2:19">
      <c r="B39" s="12">
        <v>26</v>
      </c>
      <c r="C39" s="12" t="s">
        <v>180</v>
      </c>
      <c r="D39" s="12" t="s">
        <v>185</v>
      </c>
      <c r="E39" s="10" t="s">
        <v>211</v>
      </c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</row>
    <row r="40" ht="24" customHeight="1" spans="2:19">
      <c r="B40" s="12">
        <v>27</v>
      </c>
      <c r="C40" s="12" t="s">
        <v>180</v>
      </c>
      <c r="D40" s="12" t="s">
        <v>185</v>
      </c>
      <c r="E40" s="10" t="s">
        <v>212</v>
      </c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</row>
    <row r="41" ht="24" customHeight="1" spans="2:19">
      <c r="B41" s="12">
        <v>28</v>
      </c>
      <c r="C41" s="12" t="s">
        <v>180</v>
      </c>
      <c r="D41" s="12" t="s">
        <v>185</v>
      </c>
      <c r="E41" s="10" t="s">
        <v>213</v>
      </c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</row>
    <row r="42" ht="24" customHeight="1" spans="2:19">
      <c r="B42" s="12">
        <v>29</v>
      </c>
      <c r="C42" s="12" t="s">
        <v>180</v>
      </c>
      <c r="D42" s="12" t="s">
        <v>185</v>
      </c>
      <c r="E42" s="10" t="s">
        <v>214</v>
      </c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</row>
    <row r="43" ht="24" customHeight="1" spans="2:19">
      <c r="B43" s="12">
        <v>30</v>
      </c>
      <c r="C43" s="12" t="s">
        <v>180</v>
      </c>
      <c r="D43" s="12" t="s">
        <v>185</v>
      </c>
      <c r="E43" s="10" t="s">
        <v>215</v>
      </c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</row>
    <row r="44" ht="24" customHeight="1" spans="2:19">
      <c r="B44" s="12">
        <v>31</v>
      </c>
      <c r="C44" s="12" t="s">
        <v>180</v>
      </c>
      <c r="D44" s="12" t="s">
        <v>185</v>
      </c>
      <c r="E44" s="10" t="s">
        <v>216</v>
      </c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</row>
    <row r="45" ht="24" customHeight="1" spans="2:19">
      <c r="B45" s="12">
        <v>32</v>
      </c>
      <c r="C45" s="12" t="s">
        <v>180</v>
      </c>
      <c r="D45" s="12" t="s">
        <v>185</v>
      </c>
      <c r="E45" s="10" t="s">
        <v>217</v>
      </c>
      <c r="G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</row>
    <row r="46" ht="78" customHeight="1" spans="2:19">
      <c r="B46" s="12">
        <v>33</v>
      </c>
      <c r="C46" s="12" t="s">
        <v>180</v>
      </c>
      <c r="D46" s="12" t="s">
        <v>218</v>
      </c>
      <c r="E46" s="10" t="s">
        <v>219</v>
      </c>
      <c r="G46" s="9"/>
      <c r="H46" s="1" t="str">
        <f>_xlfn.DISPIMG("ID_E3EA1DDE53F245219ACD7BFFACD75982",1)</f>
        <v>=DISPIMG("ID_E3EA1DDE53F245219ACD7BFFACD75982",1)</v>
      </c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</row>
    <row r="47" ht="24" customHeight="1" spans="7:19"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</row>
    <row r="48" ht="24" customHeight="1" spans="7:19"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</row>
    <row r="49" ht="24" customHeight="1" spans="7:19"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</row>
    <row r="50" ht="24" customHeight="1" spans="7:19"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</row>
    <row r="51" ht="24" customHeight="1" spans="7:19"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</row>
    <row r="52" ht="24" customHeight="1" spans="7:19"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</row>
    <row r="53" ht="24" customHeight="1" spans="7:19"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</row>
    <row r="54" ht="24" customHeight="1" spans="7:19"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</row>
    <row r="55" ht="24" customHeight="1" spans="7:19"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</row>
    <row r="56" ht="24" customHeight="1" spans="7:19"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</row>
    <row r="57" ht="24" customHeight="1" spans="7:19"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</row>
    <row r="58" ht="22.5" spans="2:8">
      <c r="B58" s="11" t="s">
        <v>220</v>
      </c>
      <c r="C58" s="11"/>
      <c r="D58" s="11"/>
      <c r="E58" s="11"/>
      <c r="F58" s="11"/>
      <c r="G58" s="11"/>
      <c r="H58" s="11"/>
    </row>
    <row r="59" ht="63" customHeight="1" spans="2:19">
      <c r="B59" s="12" t="s">
        <v>163</v>
      </c>
      <c r="C59" s="12" t="s">
        <v>164</v>
      </c>
      <c r="D59" s="12" t="s">
        <v>221</v>
      </c>
      <c r="E59" s="12" t="s">
        <v>166</v>
      </c>
      <c r="F59" s="13" t="s">
        <v>167</v>
      </c>
      <c r="G59" s="13" t="s">
        <v>168</v>
      </c>
      <c r="H59" s="13" t="s">
        <v>159</v>
      </c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</row>
    <row r="60" s="9" customFormat="1" ht="63" customHeight="1" spans="2:8">
      <c r="B60" s="13">
        <v>1</v>
      </c>
      <c r="C60" s="13"/>
      <c r="D60" s="13"/>
      <c r="E60" s="13"/>
      <c r="F60" s="13"/>
      <c r="G60" s="13"/>
      <c r="H60" s="15"/>
    </row>
    <row r="61" s="9" customFormat="1" ht="24" customHeight="1"/>
    <row r="62" ht="22.5" spans="2:8">
      <c r="B62" s="11" t="s">
        <v>222</v>
      </c>
      <c r="C62" s="11"/>
      <c r="D62" s="11"/>
      <c r="E62" s="11"/>
      <c r="F62" s="11"/>
      <c r="G62" s="11"/>
      <c r="H62" s="11"/>
    </row>
    <row r="63" ht="63" customHeight="1" spans="2:19">
      <c r="B63" s="12" t="s">
        <v>163</v>
      </c>
      <c r="C63" s="12" t="s">
        <v>164</v>
      </c>
      <c r="D63" s="12" t="s">
        <v>165</v>
      </c>
      <c r="E63" s="12" t="s">
        <v>166</v>
      </c>
      <c r="F63" s="13" t="s">
        <v>167</v>
      </c>
      <c r="G63" s="13" t="s">
        <v>168</v>
      </c>
      <c r="H63" s="13" t="s">
        <v>159</v>
      </c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</row>
    <row r="64" ht="63" customHeight="1" spans="2:19">
      <c r="B64" s="12">
        <v>1</v>
      </c>
      <c r="F64" s="13"/>
      <c r="G64" s="13"/>
      <c r="H64" s="13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</row>
  </sheetData>
  <mergeCells count="6">
    <mergeCell ref="A1:S1"/>
    <mergeCell ref="B3:H3"/>
    <mergeCell ref="B8:H8"/>
    <mergeCell ref="B12:H12"/>
    <mergeCell ref="B58:H58"/>
    <mergeCell ref="B62:H62"/>
  </mergeCells>
  <pageMargins left="0.75" right="0.75" top="1" bottom="1" header="0.5" footer="0.5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0"/>
  <sheetViews>
    <sheetView workbookViewId="0">
      <pane ySplit="1" topLeftCell="A11" activePane="bottomLeft" state="frozen"/>
      <selection/>
      <selection pane="bottomLeft" activeCell="D26" sqref="D26"/>
    </sheetView>
  </sheetViews>
  <sheetFormatPr defaultColWidth="9" defaultRowHeight="16.5"/>
  <cols>
    <col min="1" max="1" width="9" style="3"/>
    <col min="2" max="2" width="29.5" style="3" customWidth="1"/>
    <col min="3" max="3" width="26.4666666666667" style="3" customWidth="1"/>
    <col min="4" max="8" width="25.125" style="3" customWidth="1"/>
    <col min="9" max="9" width="18.875" style="3" customWidth="1"/>
    <col min="10" max="16384" width="9" style="3"/>
  </cols>
  <sheetData>
    <row r="1" s="1" customFormat="1" ht="29.25" spans="1:9">
      <c r="A1" s="4" t="s">
        <v>223</v>
      </c>
      <c r="B1" s="4"/>
      <c r="C1" s="4"/>
      <c r="D1" s="4"/>
      <c r="E1" s="4"/>
      <c r="F1" s="4"/>
      <c r="G1" s="4"/>
      <c r="H1" s="4"/>
      <c r="I1" s="4"/>
    </row>
    <row r="2" s="1" customFormat="1"/>
    <row r="3" s="1" customFormat="1" ht="22.5" spans="2:8">
      <c r="B3" s="5" t="s">
        <v>224</v>
      </c>
      <c r="C3" s="5"/>
      <c r="D3" s="5"/>
      <c r="E3" s="5"/>
      <c r="F3" s="5"/>
      <c r="G3" s="5"/>
      <c r="H3" s="5"/>
    </row>
    <row r="4" s="1" customFormat="1"/>
    <row r="5" s="1" customFormat="1" spans="2:2">
      <c r="B5" s="6"/>
    </row>
    <row r="6" s="1" customFormat="1"/>
    <row r="7" s="1" customFormat="1" spans="2:7">
      <c r="B7" s="7"/>
      <c r="C7" s="3"/>
      <c r="D7" s="3"/>
      <c r="E7" s="3"/>
      <c r="F7" s="3"/>
      <c r="G7" s="3"/>
    </row>
    <row r="8" s="1" customFormat="1" spans="2:7">
      <c r="B8" s="7"/>
      <c r="C8" s="3"/>
      <c r="D8" s="3"/>
      <c r="E8" s="3"/>
      <c r="F8" s="3"/>
      <c r="G8" s="3"/>
    </row>
    <row r="9" s="1" customFormat="1" spans="3:9">
      <c r="C9" s="3"/>
      <c r="D9" s="3"/>
      <c r="E9" s="3"/>
      <c r="F9" s="3"/>
      <c r="G9" s="3"/>
      <c r="I9" s="3"/>
    </row>
    <row r="15" s="2" customFormat="1" spans="2:9">
      <c r="B15" s="3"/>
      <c r="C15" s="3"/>
      <c r="D15" s="3"/>
      <c r="E15" s="3"/>
      <c r="F15" s="3"/>
      <c r="G15" s="3"/>
      <c r="H15" s="3"/>
      <c r="I15" s="3"/>
    </row>
    <row r="20" spans="2:2">
      <c r="B20" s="1"/>
    </row>
  </sheetData>
  <mergeCells count="2">
    <mergeCell ref="A1:I1"/>
    <mergeCell ref="B3:H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日志</vt:lpstr>
      <vt:lpstr>设计思路</vt:lpstr>
      <vt:lpstr>界面&amp;功能 </vt:lpstr>
      <vt:lpstr>职业天赋规划</vt:lpstr>
      <vt:lpstr>参考界面</vt:lpstr>
      <vt:lpstr>美术需求</vt:lpstr>
      <vt:lpstr>表格结构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爱玩手机的猫</cp:lastModifiedBy>
  <dcterms:created xsi:type="dcterms:W3CDTF">2024-05-27T08:46:00Z</dcterms:created>
  <dcterms:modified xsi:type="dcterms:W3CDTF">2025-10-22T01:43:05Z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9722E85DBE604A219F5CAF7434148607_13</vt:lpwstr>
  </property>
  <property fmtid="{D5CDD505-2E9C-101B-9397-08002B2CF9AE}" pid="3" name="KSOProductBuildVer">
    <vt:lpwstr>2052-12.1.0.23125</vt:lpwstr>
  </property>
  <property fmtid="{D5CDD505-2E9C-101B-9397-08002B2CF9AE}" pid="4" name="KSOReadingLayout">
    <vt:bool>true</vt:bool>
  </property>
</Properties>
</file>