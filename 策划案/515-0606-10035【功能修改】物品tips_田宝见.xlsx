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 activeTab="3"/>
  </bookViews>
  <sheets>
    <sheet name="日志" sheetId="1" r:id="rId1"/>
    <sheet name="设计思路" sheetId="2" r:id="rId2"/>
    <sheet name="功能设计" sheetId="3" r:id="rId3"/>
    <sheet name="界面" sheetId="4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>
  <etc:cellImage>
    <xdr:pic>
      <xdr:nvPicPr>
        <xdr:cNvPr id="3" name="ID_5000AFC8EDA848F6846839C9782CC01B" descr="物品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704975" y="3105150"/>
          <a:ext cx="10058400" cy="6221095"/>
        </a:xfrm>
        <a:prstGeom prst="rect">
          <a:avLst/>
        </a:prstGeom>
      </xdr:spPr>
    </xdr:pic>
    <etc:extObjData etc:type="1BCC2C28-871D-48CB-8BE0-2867F7803ADB" etc:data="ewoJIkZpbGVDb250ZW50IiA6ICJVRXNEQkJRQUFBQUlBRVdkeFZpQWZKck9tZ0VBQU9jREFBQU1BQUFBWkc5amRXMWxiblF1ZUcxc2ZWUGJib0pBRUgxdjBuOGd2S1BMUlVYRkdxUFJOdW5GUkszUEt6dktWdGdsNitJbFRmKzlDMnJWVlFzSmdUbG41cHlkR1lMMk5vbU5OWWdWNWF4bDJpVmtHc0JDVGloYnRNekp1Ry81WnZ2cDhTSG84VEJMZ0Vuajg0K0xTbjdKTmcyRm5NZFFFUmxrbExUTTc5cmN0VzBuUkJhWmg1N2wrVTdkOG1mdXpBTGkyWTVMdklwYkp6K21xbStvS3hnS25vS1FGRmFIU0JIdFpKSy80aDNQbExaU01Ndm40SmdtRUZNR1UwcGtWT0FJb1V0S0Y4ZXhTcjViWWhUeHpVRHdMSDNIQ2R6QWV5bTlFZTJFa3E3aGhSSFk1cWltT1FvRkFEdVpxanMzQ2M5QUY5SGVFL0kxeGpER2NzNUZrcU1ieWk3Qk56V2crZTVmU2xjQWxrQU9vOWxyRkFPN1puR1J3NWdrZDJyMDFDTm5PTWp4TEZTMVVNV3c2dzNQYWRoYXRTRmV3Q3BucHVwRmM0eFRaVnJyYjFDK0dua3d3RXpLajFRcTArZjVVeTZXUGJ3cjhwdkhHeldScnZMRnhaaUd5NXpuYWhobEowd2ZoOFJDSG8rcFlYM0s2Q3E2QXhhSitSSVcvZkY5ZmZuMnlVZENwVmJWQ1JORzVmbnlhZ09JTUZ0QTRmeFNQQ2hmOTBtZFhpeEhFWURNV1VINStNdXFqMTlRU3dNRUZBQUFBQWdBTDVsdVdOdXVlZ25vRHdBQU5CSUFBQWdBQUFCdGJTNWlhMmwzYVRXWGhYYnlETmR0Y1pjQ0xlNFJnaE1DSVlGQUNPNGxPQlNwUWdzdFVxSDZ2TDMxdjk4NDQ5ekNISHV2TmRlVkNmWjc3TXg1MXJINXVGK2ZsQ1B2VVEzaWQ1YXllY0lIUVcybVVLMzRZRlhBSDJjYnpQZmF4ZVVSaDZPa0JrZlcwZnU3OGlvZGthdkUwWDg0Rm5Tei9oR0RFNnY0UGowZlpJNk5RVmxwT3hZbVQwN2lUTUxCY1g5K2NKcE9WNTlxRXdrbEJDelBsZjVhbytGNVpXT1RPRmZaM2hGSWhrUFh5YStvZWJqUWVodWIwYmlaUW9mU1Y3aHdoU21OdmxMa1BWY1hPTUdwRlZSY05lbE9MQnNVQkUvTklzaTQzOTNRTUpEbHVsVDdoM3JZWHZETEFnbk5ZNWNvbTFPR2tSbmphcHJUMjFoSzc1aWVXa1lWSWptQ2VMYUVLR3M2aVl2MGkvSEJIMzJURkxBWkozM0FheW00NldwMTEyM0trR0VyN0xtRVlnVkFma1o4V2lSbHBhZFAxSmkra3llQlVVakwraHE2WTVXTm1EOE96U2ViMkUwTjV2NVZYMit2Zis0YnVrOW1rN1VtMWc5SG1EcmE1UUJjckJUVW1IdC9IVnROQkg1NkRYYXVMdUkxdm1Ed0IvUngwTFZUQnJMYXlEV2xRZXBVSkQ1c040K0tyWWYxaDZGaW9ZRDRVOHlBeUlhZ2xEeklENldZVGpHdlpIMzZZMnAvME1HenBjeHp2eTVmRVpRVVFmYXZXQ1NyMkRsR3ZjNzhCRVVuRjdQWXNkYUpDZlZhOTJSWHJ2QlY2a25iWDRoOWUvRVFMengrYkIrOGVqSFpYekZ2TWg4MTB2RWZLc3ViYW9qU2dxRUNnSDFIVVgyb0p3REcxWHI3V1VTMWZDS3gzaUJBeUxkY3crNE9SZDVmUCtlQlVpZUdOYmgrS3kvREZ2WjN2S0V5Tk4yeVg2K0EwUTlPd21HZjM2SjBFNFU2bDg5OHpuYnZtYUIrVEduUmlkQVNxYU1rWmliMEtOcXlzSlBkODcrSXZiVWMyM0pvaWRNNkptcHh1RUU1RFViQW8yNzFtajNrRkgyM1E0RXc4ZnQ1bFRlNkJvM3pQdnRvVjVzalBuM3N5V1d5RUJCNnRUOGhSUEZVbWlpTS9kZURONVZiYnhXNFBzODNXZDVjcWFDOG0ramhscWJBVUVoanQvL3h2KzRvZkhnZ0I5OEV4bW1ZUHcyY2pSeUQycm9yZzVCZ01CTUlKSE9IelpHalRtSlpTejgzWnBzQ3pPbHllZzFEeklta2M4ekc3U0haSFBOeDRWZVphdnZYZmFVNkZ2K1AvL0wvM2Y4Qmo2RmhObnh4MGMyZG9uZ24wWWVNQ0s5blZlcmlzY2RzN2Fpd0ZpWlR5ZjdqZk5TeUFZQ2kvVk4vMW9Ba0Z5TmRqWm4vVnpNQytVNW5NQzZ5cXlQL3NJL2lRaE52QjluMmVUYkFFb2FDVHh3eFJGN095Vy9sRGt1R1ptZXZYeWpZK2VOL0xnQTB4bGdHMzkvY3BOVGdRcDVRN1ovT2IwTWpJaDJrTEZMSFQ2bDZmek4xVUNrN0V1UCs2dDV2c0Z0TEdtczhqVEhLWnNQRFczWmhOVEZLWSt0aTVuenVvZHVxWXdCRTg4NSt5WmJtZ1JwZlRCb2hMZjNZTHVNWjBWOGZ1cWs5M0p1SmhPeGpmK0wwTzZSNHc2MFNqTnZvSlliYitYVHNURHJvdCs1Nkgxd2lKU1JsbjlWTm5qTlFLZDZXbXdTZjU3TnhhNlZsRHpualh6b0tuTko0N2VkeWFuZ1BKcnBwL0dtemFPOUVaaHFHUWhaNTNHOVpYUisyRm9sejZoa0hUR3lqVkVKRElNaGx3NmZWYks1dUF3T0J2L3pabndkRnZQYitlNTh0OTNrQmpySDhXT3RZOWFLQjVwbEY0WHBERzB0K1JhNFhxY0hVWVhkRDhmV1hBNWhzeW5XN2d0K05PeGxjRHFKQnVabFF4VVgxK1V2RlRtcXRDb1Qrc0d0NzFPNnE0U1E1Zi94L3NSZDJ6QWszTnIxeGs0aTE0NXFmZ0RKbU9QYkxTVXB6ZjVhQ0NwaEZ2d0RaRGtaNmhGcUR3QTA0VGRvYllwMXYyOFJhaDhNaThYVmhSWEYwM05MMU0xQjg4bTJmYkk4dFFENU8vdkcvTThpQjJiUTRHSHl3OGg5K2pMSWM4UEh4WWxoUkZMZ1RjZklRYWJXeEd1UUgwMFJBQWJNRnRpaUxsYVNRUE0zYU5EcHNYMEg3SVF6bnBmelZYdjFST0E0TGhYUW1yL3E0cVJ2cG1BQk5wUHkzR1EwM29CVTBIejlyc29EMFF2VHc4M1JmTkVwUGU0MWFVWitKZWUvU1MxU0doVVFsU2tUTWlJWjNncmhlQkdCYS92Y3Y1MDRZWFpkYWVhN015aFdmbEtQdlVUQkVvMmRJeXBmUHNha29HWUU4K2N0NjJaM3hodVJFN3ZwbFlrQWRjRGEzYWQ2dmhWSW9LYUE0V2RPd1VDeEdvVjRUeDFlUlJXbzZGUndybllUMHpPR01QUlpxTHdKT3AxMk14dzZWS1NRUEJFRlVITkJaNjlOdGdhZndSeGNwZlQ0c1VwNVhKczhBbUUxME9QMkZoVUUzZzVTVERnd29zb1VMZmJMalZ3azk5ZllrempxKy8yZWVxOGFaT2RQYTU1N2RtRGRPeW5senRXQmdKUzJDKytZVjJJNCtsTWJ2Rm5vYUJlKzM1SGRVNXZDaEovajgvWTRSV0RYaExJa1ArdmE0b3lSR3hyZUhtTS9FZG9sSHZITzB1RzJkNUpCQktHZFU3YTM4dHRwaDBLV1A1QjQ3K2NsRUhaRU9yWERqTC84N1RwNGk0S1NkbVRFZzQ0MjdLWlZKQysvWTlpRTVtaGNNZytWOTFXUU1HR2pJa2NzbUx1VW1ubVNla0JHOXQxcFJuVXpqa3V4U2RKY25IUG1NcURGVzFCNXppS3ZuamlMcnptZk41d0pTQUlUbkxqZWZjb0VRcVdkNlNXWlFQQThpVkVJU3p6SzFhbDZ2Z3p3QmQ3S1kvOGQ2K1pvWnFaZlVrTWdhNFNqamdaQnI5MjhYRVpkWTJQME5GQzl5NkNVYVFXZERRZ2ZBOFp2UFo0TXM1SWQwb20wTXZYQ1dURndLM1RiSDk1ak5KMG1GZzl2U2Z1WEVScnhNUDdLN1BjOVJJand3Yzh4RURON01VazZSMG9jRnlPNi9uRjhFMzc2OWxCZm1LTUYycW1YZW1XUUxkdUF4Vmo0eUNrR0NqdXFsbXQ1NlM2NHBsVTFnNGNXenRldmlWS1FFeDY2TTFNREtKdjMzZXNUdzd1WkxqeVpMR3BxU2tjSEE0QkxsZVRTMWUwTlowK2lLVmVhb054a29LQ1NqSG4rdnRRQXpsSzNWclJBWlBOa1hSejBqOHV0RFVsS0M3TURIOURkRDFKZUE4TXhJdi9rZGQwWWNnOXJHZ2FUN2RnSmZjRUtjKy9ldk40Vkc2Wlg0K0IybDdXMzNjSEVpOC9aYXRleHAxRXR5RzB2c3JtQ3hYMkNjZG13RzJxOWNlTnN4NkR4UVpyZkhGRXhHbVhKdXlkT0toU1JTQzBYcVRCZU14cDBCZjVUOXlMYTRrU2g4NXZHRi8vanZCNUJhUjN3L0g0QjZaZE80MzJMV0pMWDczS0dpN2hURVBwRmVHVSt1NGgxOFVHLzhhdzVMTmtzQ3lOakx6SDRqNjVZcTJFeENvVENuMW5rWW5tQXFqcy9LOFRqdXloUEFJWGdMU25uSllPaDFVQ2VqTmQ2d1lFSUdIQjdxQy8zeGZ5OTVsTUdZaVdNbi95dVJLaFNjT3kzeXl6Ly93UzRTSW85TU9Eakx2a0NLbnRnek5QYytqcUtRRElreER3WEtvcVI3cGZMOVhkUHF0aHhMNDFVSDUvT3g1VzVLc2JOaWhqMzAzc3NxSWlNV291MTk4RzBvdUVBblpwdXA0d2Z5M29FbkxxU05oclMwT1dwK1UzMCtxVXZVZ2M4dDl1MGY5dDBnN1lCSDNIRWxHaGxCYmlPZFFhOWVkWWgxY0xFZmxiTTVHZmo2VlAvZzBESjdVb1hhRXN1SG8wMVYxdkxjem1LZXVRWkRHa1BXM2RjQWs2ZndVTWdtV0pKM1JEenREZHQrUkJVMGt2YkRBcWFhdTdRN3VJNkhMUGs3UmhXRUY5REduVUdRSlptQ002bDNuem81V0F5TVc2ZUZtMlBVeEFXaHlsQWNNaitXN3BpMFRDYWJudnkrNG1XNlNWME51L0xlUGpIdk4xNkx6b2tqd2ZkTkhzcDFIWS8za1MweDZFY3Q0K1RCWnFIN3JmbDFvQ1A2T0NiTlRJTEhsMUVxcUFDZ3lkdXdWWERVUlZjTE5Vajg5V01xNUd5eXYrRThGNWFZbzc3MkNVTGNkdkszR3YzcHRCbTc2RXpkcnYvNWo1dDVXMTNYaGZHRFBHMHpXcWxWSlY0UkJoSTZIOTN6TmJhcnBBUGptMVZ4UGM2K1g1Y0Zob0NrVjBmYjdMODA5MG1RVHUvMjZNSTB1cTVKUnA2Q21qb2RKNGM1ZnllYzVPTndwTlZwamtNT2N1SVlLc2VvejZpNzhBVVhSTE1DYWFGMGRWRmZ4WXErRkkvTHVtNitCSUJjQkhySG5pakNwMFVXbWhUUVVpK0Y1ZjVMck5SV2g1R0o2akxFV2NhNExFL2U5S3p3UXU0MjJXZVpQM01qSnV0WUVoOElpSmpYSlhlWjBwYnFGMU9OaU5SR201SEVydDZkdVNvQXVwRVlwWXRMQ0xhWk5RRUp0UkdHYllHb2tpZ3RIWFhNN2lCcnZVM3QvaW1rRitCZUhYLyttb2lVUTNYZTRuT3g0S0hSRGxvTjhpQnVXeTA3bmwzY0syeTBXdEFkTEJoYzRhS3FEN1dSelNzTWZSM3FRek9ta2ROVVFXQkdiM2VYM2hCaXd1bklFanVXdXNvNE1XU25LWkNlcHpVekpaeS9PYjY1NjNaZmorZmt2ZTVmUGpLWnZMdkhpS081MytNY0NnRTYzZFFvLzdmdGZuMnEwaExuUDlWRGJ2eGpKQSs4eG00VmxVVlZJa1IyY3A3U0xtTlhOMzZhNmZjc0VUbjlqR3ltUHJQdUd0VmNkQS9CWWcvYlpZMEZNd0UyU0QrNGJsZmVQVzRwQU9ySnJuMllHeUU2V1hoaUN4TGtlWnNRUlNXd3YzN0hrb2hZNThwY0c3aEtaTmR2MzhRSDljS0orM1ZYMzFvRFZuM2FvWkhuYjdadkgrS2VSRUk2dVFDMjdFMldja2ErMHRDNE9qeThDU2VhSG5oSTQrTk50LzFNbkFBV0JIWTZvcTM2NnRrcTFhWGdtYjJJTXFQaU5Cb1BvZkdUQWV3S1ZPdjVId0oyUXo2TUdBQXFIZkg1L0VqV3VnN1FuSElyZ3FqbGF4bDlLUFpoYkpqNWFiZUxLd0pyTU5QdzMrZXR1SFk3TnJrcjkrMUdmcTg5MXZVVndWRjJ1NDVKM0ZyM0tiYyszbDVxWldUc25NYlE4eDBUY09KR0lsUEEzcmxSOVBWNllvb2tBb0M5QjcyaWhaSkx6cmU1MXp6d0FManFpUU5yR2JrbTZVSlpJZ2llMFZxMnRNL0thckIvS0RlZG5TclBsMDFkZ0pQdzhjTGdNRTRUdXF2UDdtN3VqK2lMUU94MHFyVks2Q3VTR0h6SVVVMVdHRGZiN0RtZmM3RWxMdkgveXZLZ2ZldzdSUXR3V21TWFZBNnRMNUlFVFptUkZJeU0wSzgrbDlGRG0zWUlqYmsxbzlab3FjMTh3RElSWlh5NytiMjZzV0NJUUphdmx6bUQ5L3RiSGQvRTRWS0lUejBXS0RSUDZ6aHo1dlVvUXVTeVBXSDBES2VqeUV5dXdwZkNvYjlQaTdyVlVYeVVRbzJaUkFBTTVITHJOd0E0NCtCbWdUVkIva1RlQTVGRVVBZFNNc2hMbEpxL1hKRllSTHNsOFRUekgvRWlKemN4bmNDLzdPbnF1OGRmT1JTVWZiSFJabitCK0didVF2d0huYlhMY0hjQ0h0VWRsWk1qY2lPUDNGckRwQzdPcjhNZFErVzAyczBRY3VxazdudCtTNmtEWjMvNWY2b3d6cUhkK3B4TG1RQVJLeDA5eC9FWXpxb2g5RHczK2lZMUpVQ1d1UDE5RVZidHlPWHFvdjdLc2VuL2wvK3YvMy8vbXY3Mjc2L0pWZWNTZXFkVnZ5ckVsQzY5MTZDbUI2N0cwK29RbGpvTW9ZaU1IVDR2dnlSV2VlaWlPUWRQVHRObnpLWTlob1RqdjZiOS9YbkFlci9Xc0hFY0lHTCtkc3VzVG9Sc1FhalpheWJ3aVozdlQvY2RFUUQ3cVJ4blhvK1FINGtITk9wbHo4OTE2RnpRbmR5bVFHQnQrMjI4WXZKblBLc1NkcERTdTU5S0VoZDFWSXFVUXRRK1BEWkVBVklqaFVJOHdVd2J1eTFKK2ROVFdTTTRyRzJpdG1TSnlOQTJydDRYZ2p6VkRXUHhueEltc2RYdkpJK1JVeFFJSUhHTDg4LzUwNHdaTmZ0Z0hwMHZzVGJDMTNhSmVjVDdzemZaeXFySU5DK2txYzEzVGtkWDBNMXBRMU5pRktkUml1bTRoM1dCRG96UHJKKy9aWkUxRHRoTndMRGNRQ2J5U3ErS2tYRk83TVNvTllSYzI0ZDlLaGhybUxVb3M2UFNJSDRHS0hObjg5U3grRllpNVFBRitBSlBtZlFtY1YyNE01eDQraFp2VTJmM1ZSMWN4VCt3ME1HeGdBTk44Y0MwUmdESlJ3Sm9LdXQ5NytWZUZWM08rRkMvbVhKZmxvcjMvTVVKWXVXcGd2cUptRTlqOTdzME1adk1pWGpLeWNtbklPN3VBNlg1cmY1UTNERmtyVzVYM2pDcythTmVURWdGRlJTQnVKdWgzbHdZQytEM1p6TDZ6LzlaTmhDaVUwbi95U2kzVEkzY1BPM2YvWjk4TEJzQ0dxQ0kxbXl1TVpnMTllKzlTeUZUbUFCcFc2UjhlOXlNdEdxSWNCR2daS2c0eUdkYVZtS2ZmSVhUc2diVjE2M2RWV0Rxd05KcHlrYTZxcDJxQlVsNlpNQXBWL0UzU2xlUkNPSldoaUZRRVFoRHN6QlpyZVFpQWpBVUFQMklrbEhDUjNvditqOVFTd01FRkFBQUFBZ0FSWjNGV0tVbWxMUUNDQUFBUVJzQUFBOEFBQUJ0YlhCaFoyVXZjR0ZuWlM1aWFXNmxsMjFzVTljWng1Ky80NlM1RW91aXRhczJqVzZleG9kVmF0VlU0OHVrVGtNREt0cHViVlltTkZTbXNkS2tDU1NwU1NDQjhsS0hrTmdPRGpIa2hieVFrSWFRaEFET0s0bEpuS1RRTnRBMHBXYlFFbHBOWXhOK3lUU0piTk8wYWFxMG5YTjk3R3RmMzZzYmIzeUlrUDU2ZnZmL3ZKMXpqQWR6TmZVd1BXNDI1ZEZqbVQ4Sk5VNEZ2RldXWittbnRVU1c5VTZpcGczc2oyV2pnLzF2MDNNdlBQY2lYc3A5T2VPVjNOemNYK1MrdXZHTjB0OVcwQyt4QmIvQ1ZyeFdROVN6elU3MFpFa0YzalN0TVNNbnJZQXk4MWJoYTJtUHBqUE1lMDh6alBWMVFtRk16SStLYTcvLzZrWTdXZjlCMkJVVEM2SmkyMUllRXkzSENNWGFrUTc2d1hjSWI4WEVvbGhrWVEyTHRQMlZzRHNtbHNRTURYVXhjZnNrb1V4UHRNd1Q5dXFKOSs4UktyUy95ZkpjUmRnZkU4dGprVGx0VExSbEVnN29pZHV6Q1lmMHNPdStTWGhIVDdSWUNKWFFLNUgzUjRRcVJiVWh2cndPY3E4blZPc0c3M3VCWUZmVW82cmduTmNJVG4wNWV3ZmhtTDY4dkpOUXAvdnB6RHhDdmFLNmxPQW5DM201amhOTzZNdnJtZ2tOK3JLbGs5Q2tMMU12NFJUMFp0bDluZENxcU0xSU5MNXBtZEN1eUMwS3U3Q0l5VjFmRURyMFpkdWZDR2YwNWUxL0pyeXJMNi83RytHc25qVW5mUVhDT1VYdWptdElLWlBER1lRK3JiVFhmVjArQ1FqbkZiVTNHdXhvdTdMQVpFY1o0WUlpOThma2hhZk84WXEvVExpa3lBTXhtYm9POFVsNmtUQ29IMDFiQ01PSzdGRkZMMjhsak9wYjIxUkZ1S3pJSXdyOFlpZnZTREZoUXBISEZMaWxnc2xEaFlRcit0RzJ2WVFwUmZhcW9xMzdDZFA2MXY3RjVuUldrWDJxdkxOUEVLNHE4a3hjM3NXOGFrN0MrL3JSeXkyRUR4WDVtcnBxVEw2dUgrM3ZJbnlreUhPcTZLRit3c2Y2aVhuWkNuMml5UE1xdU5WTCtGUS9ldDg0NFpZaTMxVFZQTnRQdUszSWZsWE5jMjRRUHRPUFhyNUx1S3ZJZDFUUlhMNm5IKzMvQStGTFJWNVVUMHVJa0dmNnRobi8rYTVwWjlvdVNqZGgrWlZIU2pLTHBTTEtBTHVzckdhWWlzMGg1L2xBUXlXeGZ6dzhLeTIvR2IxNE5QMGJtZDliczNyTmF1WHlKZVNiVmd2WTdoaXNUQ3BWWUdYbTBQQlVvUE1ZaDJYbVNXL0t3UFNDSWh1T3dzV1lqMlV3cWlYTGtzV29YUnNZOWY0emhBTFRFNXlhdGlmR0xKZjJLc3h5YzdEREhXeHVsWm41VXVHcWRNYkVUZ0hMTW1lWk56anpNN2F4MjdEck1HR25FU3d3ZUNVdzJSaW9QUk91bWc2T084SzJVeks0UU5yRndRblVoWitWQzJxUm9VV1p4TXI0ME9jSTFBK0dxMXdCVjNXb2ZTeDQvTnlENmRsUVkvOURuMU1rVUN3bllDNHBQM2c0TVlmbithbVp3ODY5RXNNY1BCMGh6N0RTdDh3aTZTMlptbVl0M1pPWWdxdUJwekJOc0JxbTBPcFpzclZGMERLMFJOcWRWSksxdHkveE53bTdza3FOZUdIN3dKTE5xY0RLa21FL3ZDak03VEdDTGJYVkIwOVBKcGpicS9BZXAwUjd2eWVVRzlxckcxU3FWeUZYejdUdmJWWC8zYUlqK3d3NzB0NFo2S25qVE9jUm1Wa3U3VS9PZDNNZnovY3J3dHVHdk9IT29LMHZnWGRBSzE5R1pFZFFGdUdnRVRFMFZiODA0RXFZbVVNYVJENHc3R0I1Z25EWTBHUDErSU9wWnNGNlI0c2wxOC85Tk1FR3czYWNyUTcwMk1XS1ZDS3k1RWVRdE9VT3l2MHhNV0ZsUEhZYVJUSis2SE94dFF5ZG53MDZ4dVNQMkNCVklYbmpuem9ndm5EVStBdGpmUUZ2cFhCY0hYR2NWZ01IYXFHcVE4UzNmeHVoeHBBYTlIcURqdm80OWxGSWRnMmpxOHA0NDM5TzdIdkdmYW9PMkh5SlNLY2VrcnVzWFFHU3R6NFJlUXhhSXlCRDNVWEVqbi9ESFc4YUQxem1FeXBxV2hlcHFmazQzRGlKeHFTcTl2NmEzNUFOaE9QR1ZXVS9LdTFUa2FYaWg4aVpVZmtiTGtqMUdvVnc3ZWREY0pEWWR3MDl0NHdFUEE0dDhBazljTGFMV0RxR2ppY21BbTVIZUxhZFdlZDNhZ0s3UWJQVTh1ejYyNG1WYW1YMGlQa2tlcE0rM1gyQjBBempWMEN3WlNiVU15bGVBYWZrWjBtV3FRWGRXazhBeTc4SkxjYmJKdCtvY2R4bVNLMWlRTnB3R3Azb1VoMFd6LytHSDk3M0NXM0c1VkFlR0MyUTJqVTZ4MTRDTEh2MmxqdHRESXMrQmFLOERnM2VYL2o3TEhlUm1POFVUa1lHTzZQWkhObGVkcGhZRVZMYk1rWjhWNU1vRy9UL2sxalBWbllRQnJ2cUgwelhKVGJvckRqSGU1SjJ0K1oxOWh2dlJob3hLWVZ6dGh2U09ZMWlMaHdVc040VmpPYWVRbXRaME9WY091a1I0OWtYR2MvMGZvekFoM25jNUdZZmtjM0tZOHAreVQ0VTc5LytWQ2FwRjlMNVNQNm1BWGdFTkdMWnNmYnZYbDdlbHdnRGhzakkrMUZHOWtPNklFcDZNUkdZbjMrQ0g0YnJpUW1HQlowWURVOWZETnRINDUvQ01uOEEwcVZvZlJWMlcrdFd3ZllZbS9WMkIzeFZVYk9Ed3V5UVV0SjR1ME9iaVVtR0E5dG9DdzVXeGoxY1BKQ0dOVnh1M1NHUUl5bXVLR3ZVcUdqVUdMeXFSbzFlNW91Nml6Q1dTcU5HSUYwV3VZK3JHaFdzNVQ4NWR4QVRVdnFwMHVRSWRwNlc0V09RSnJUeTN5TEEzbFM2eEp4ZUVVNG5rN29rZTgwcEl5YXRyRXN5MGd0cFNxOC9IT1pMNWNoanpaa1diNnNaWE1PYzFoNE5uU1RNR0VJamo3OW5ndTJ6d2JwdW1lMkROQ3R5ZjArOVRrNCs4a2VJQ1N2anhsbWVnWFJWSy8vTkFubk51UEcreVlDck9lcnhmZUh4QTYyVjU3bC84SCtzL0RWSUgrcXRQR2ZQcFRKTXpPeDFZZmFHOXNwYnU0bEpLUXpUSEtTUE5QemRLeFN3K1ZUdUR6Wk1Id3QvQzJwL2tWSEtHU0VtR2Fjc0xycTRpMlFlMGlmSlJ2Tjc3WUo2TThXYm1YbjlWQXkrSDNld21PUlhQcG1HYmhIOEt5VEwySnVRYm9rUy9FN3JaRnErU2t6NDMrZkpEK20yUnIrK3RWbXc3eGdQdjlzUmRMaWpaajhUWmovWE1zdXovendGc3pJNTFPUmE2b2djQUhjZzNkVXp5OW1McVF3L00zdFBtUDFDK3lTMS9wR1lsUEo5dHdqcFM2MFYyQlpCMG44QlVFc0RCQlFBQUFBSUFFV2R4VmlncUZmYWR4Z0FBSDBzQWdBTkFBQUFjR0ZuWlM5d1lXZGxMbmh0Yk8xZFhYTWJ4NVY5MzEvQjRqNXpPUDB4L1ZHVW5MSWthK01xSzZXMUZNZmVONFNFSkpSSmdrVkNqclZQOHFwVXByTHl5cnVSblRpTzdhMnN0eEtudHFUeTJuRWNTNHIrakVGS1QvNExtUStBK0pqcHhtRG1EdEdjdWFxaUNnUXd6VVpqemptM3o3M2RmZXBIYjI5dExyM1YzdDNyZExkUEx4UFBYMTVxYjY5M056cmJWMDh2Ly9UeStSVzEvS01YVGwxc1hXMHZ2WHp1OURMem8zL0VEOTkyK2NaTysvUnk5TXJ5MGs5YVcrSGp3L3VQK3QvZVdpTExTLy9TN1c2RnJTMHYvZlAxenZxYkYxcDdiNTVlOXBlVGRpN3VkbmYyWGpqMXM4NUc3OXJTYTZlWEtmUDU4dW9McDM3YzdseTkxb3VlSVlMNjBUTm5YNDkvSXdGZFhqb1ROM2N4YWlaNjVZM29GVVg4K0FVNmV1SFMrbTUzY3pPK3p2Y0NJb2drbzZmZlNKN21URkUvZm5wMXJEK3Z0RzUwci9mQ2JsemFhYTJIbno1Nkw0dmJmQzMxVFBMZXVBdHg2KzMxWG5mM3hjM08xZTI0dzNIVHcvYk9kelkzejNkM3QxcTl3WWhkNm01Mk5zS3hPTnZkN081RzcvL0hLNE4vOFhXajk0ZkR0ZHZaN2wxcTk2N3ZMSjN2OUhyZFM5ZmE3VjQ4RUQ4ZVBYeHQ5UEJNYS8zTnE3dmQ2OXNiOGEveEVJZkRFdzFUTXJyaEwxb3VMLzEwdXhNKzNOcGFYbnFsZmFWM29iVjd0Uk45K2RHWDJ0MFovL1hWNktMeEo4NTB3MjVzalQwVGR2bnl0ZlpXY25mdzZKSldaL3ZuM1Y5RTM4ZlNTMWV1aEVNVFAwenVrSmMyZGx1L1dCNWNjalFBN0tpVjVJTG9PVDVxK25MNzdlbW5MbDFyN2JSSHo2M0dUNFpmUlB4MDFCUGlzK0VkZXVIQzJlNzJkdndWUlg5NXQ3VzlkeVVjMzdFNzBKKzgvY2J2UGVyTDdIdFArc3BUTXBpKy8xYkgybzk3TS9qcXgzREExZkw0WFJIZFRwM3Q5dkFyang3L2JJU0VxTTFYb3k5MGVQOHREOTUvdHJVVC9SNi9Obnd1YXRSeWt3V0JhbThFeWMwNWVQZnc0ZUNQcjQ1MU9XeXkvVlo3ODF5cjF3by95dldkZHR3TUdRQm43TFYvYW5lMzJyM2RUbnZ2NlBHTnBiT2IzYjMyUmdMNkM5MjMycGU3TDV5S1IzU0YrWjZpQVo4ZTFYaFFoZklFVFkvcHNJR3oxM2ZIV2dxQ3pEWld3aTU2Sk4zS2kvR0xsSHErVFAzeE13a3hDQ244d2ZjOWR1SFo1SE9IYmZvcEhqcG4rNHVyUi8xZEhZN0w2R0U4WFBGd1grcmQyR3dmZmRueGI5R05jdlJ0bjJtSFdMdllXM3A5U0lWdkpNd1h2dlRTOXNiZ0JTcVNGNFF2UFJsL3gyTzMvZEw1emZiYjNiamxjTmhDWEZ3TGI4YnQ5dDdlc0tOeFB5YmhFNERBaHdYVVMzOVBDWUtDY05SQ0ttNGVnbWhKQkJHWk1hWnZKRzBManhGbUJGRFUwMUU3WXQ1bWhwZFA0dERjblJWRFF5OGEvM3dNUk1FOG1VR3RDUTZKRjlEVVplZHNmNjBDR0RJV1RLRnRoRVFtUTZxSVgyVTZpR21oUEJnbENCZzVJNTR3Z0hIWTE4YUJrVmNHeGxSc09pOE0wdzNNQzhCVUN6T1FsM3IvTE15bHV3Z1BOazU0R2xBanZIR3VQUXFNTjEyOStFbWF5VlcxeDF0WjhUT2loUVZoTkpFUmtHY0hqeGJSTWpRMEF6cVVlRFFqZHAwcFdxWnVMMHEwQWliaWVVMXBFQkVDQXFKQW1FV0w2L0JiYkI2RVZHV1N4YlJuZzFCTzNUSzBNbmYwbU4zT0xCeXlyQ25rYkJobTl4a2VoUUhuYWFTTmdCaklvWnJ4UU1Hb0dZRnhRb1FRbmpRQmtkUE00YXM3RklsZjNWUXU4TW9qTWJ1UithZHhXYzNNd0tIMmVJRVpYR1ovNFVFb2VBYktSaUFVaW5zc2VabUttRTdLZ3hER1Q3R0NjUEJSRUlSUUlhVjVCdGVvQ1ZoK3RJQkpGb3poWVVXTFpJMzA3NnREaTRHOTU0Vk1FYkZaS2FJMjdvbU4wa0JpQStOZjJLWmV3K0MxYWZBcFBmbENzUUdhSDRFWkZSVEdxQkRjTjRwTlFIWGprRUtxc3lsa0p2WE1PVGZLYm1UdXVWRm1Nek9BeHoxWndLTEk3bkFGZWtWWkdtSmplaFdLV0tKWEFTVXc0UjRGY2loc0NBeHBwWUZ5VlJxRTVtalBEc0s4K0NrQ241VkMrSEVQUGdHRkNmY29qTGRnRGZlRWowNDdKSHF5YmVxNTRaUGR6Q3o4UkFuVitlc3JERjFlWkFnWVRwMWdCQWpHYjdBaVNBcXZnZVpjaFJDYWthektDNkZDV1NZRGZtZEJ5TDBza3lBQmtBaFZYek1ocU1TQ1FXRExUbnNDSW93enRETlRpSWluTWxJV001MDdRNjhYVlRNaHVJVFJJUVpqUmRnSy9ZWjliUnFJYUhWMkJCYjZRUmY2alFFcXE5QVBEbTh3eG9OVnRNTDVua2JSZ2hTdGdIZ0VRclFNN2N3U0xlWjdzb0JvbVhxOUtOR1M4WklXQ0JEQjJBOVcwZEs4a2ZWRnJNS2xJbGhmZEJ4S05vYXlUQ1dUQ21iNnhhcGZJakw4S0FoQ1RQa3VCaTF3a2dWalZsalJRb05HRmtoVWh4YXNMeW9MSDA1Z3hJYkQyQlMyYVpNTVA1UXZjSDBVSkh4bUxBN09EYUJDaTNwWENxN3FkVzFScjZKK1BCVXBEeUlZNzRGemJ0WWdMWnBZOUREWUU2U0tXZE9NdEczT2FaT2hsYm5uVFlXeXY4V1N2NmFFZFFWeVJtVWFhbU55SnVoUXppU0RpUVk1a0lGaFFhSWl0SUgxRTZXQk9HZngzdHhMZmV0WHZKY2JQY3JuUU1FZ2tQTmdRdzlWVGF5ZHFBNCtXTHhYR2o1TUFJa1BrQlZoZ3cvbmlCMHMzWE1MUDBMQ3lFOEE0MFVZOS9uVEpIdHZ0N29EcU5KOS9sWWdOdm9ydXMvZlN1R04vaHphNXkvc0N2VkE4Rk45Q1lUVzRXc045UEtDNm55SVdYVjdlZk8zaG1ibXorQVdxdjhyV1A1bnJGcXN6aE1jZzF1V0thZ2xoVm1MR0FCWkVZRTBSb002eWdjMFQ4K0M2a29wMEJTc1BxN2tHVkFiaXl0bE1JZ3JOUVdxWncrQWJBMGJFZ1hDRUMxQmg3QVRBSlhWQmtDZWhnMDd5bTlpYXFzNitLQWxXQm8rQ3FpV1R3Q3RBckhCUjRzRzVxTXFSQSthZ2dBSUlqNE4zOGtBRUZTOXFVRjhSanpkUEdPOXRLbUJpeEVyTmlPSUh4QlBRS0FJeUl4UXpLaER3NzQyRFVXaU9qY0NWeU1DcVpZUWFVQ05MYUgzeVpGcVFlRU54bkx3dFNHVmxYRmNXdTJCVmphTnBlYkUyQ1JFVnVZRENQTzQ5dE9KU0F0R1ZtamdhYUgwd2xCaVRGVDVmT0tGa3NnQU1SUTBKY015L25TcExHZU5yRGNYb2h3K3pDSVEwcWZPZlppQVVZeE1yV1JMa2tVV1Z3d3R2V2o2ODRtekZ3WlZwbjFlVm16bW5xbmY0QWpVMFZxbURBQnFuM2w2c01ZUXFGUkpndmdTS2pvcndJQkNJUnBaNkNkSzdrMEJzbE1teUVhWk5nQ2FyY0VDeHJvVmZNZGtEYXBBcHlGMkJFQkZ1YWVTVndYUWtoRUpZbXRJd2J6MHlBMEI2RGR5b2IwczZXcVVubzZWbm8zTk15TzBnODRRYVM1Mk9pYVZuMGJURWRZa0R6d0pqRFVRODhNcWRxcDU3bUZacFlOSlg4Mjd0YlFkTDViMGxRMDByb21VSmpBbFRCTEV4YkNLMUtDclRRT1BMSGxXS1lyVThZblVDRTFaSWdXR3RlcDlFY2tiV2J0YjFoY0JPcWJVTnAreW5WTmE2SmhTNjV6cTJNNHBuVzFvU0taaERBMEZZMmhRYll6eEpDTk5ORFFrR2hvbjB0RGdJZzJ4VWF3WUpjaVRWeW1EbVdRcEdFTWo4STJ4NHJDclRVT2dRa1BEOFZoUnlEU2FSckVpbzROWUVRNXJNSWFHVGV4NGFrbGQ3WEZXVnVuUTBLaE1wQUlPTThsU01JYUdUYVFHWFcwYWVCUWFHaWRHcEVab3loSXBNS3hWYm1nb3docTVIM3RsaHNZS3M5ZDU1QVpNZGpzenBJcDZySWlkWWVqekFzd01SU1FNZEhUbDFSbktwNDNjQ2tOVjVtYk1zUWs3eUI3c05qZkR2Qy91L0h1d1c4Mk1ZOW9YZDVUNEdvTllSdUpMS2dFendkSXdac2JJTVV6SGlZT3VOZzJBR3MwTXgrTkVydEpvR3NXSlljZ2xnYkZXZVhYR2tEU2Focld5WWxmNnNJT2FReVd2TE1IRmhaWFhZelFWS2hydEM3ZXhOcXJIeU1MYXFCNEREbXNnOW9WVmxsajJxdTI2WTYweVdacnJWSkY1ejlPYVlWNFVtajg1Tm4xU1hJT0VkTlFIOFMrc09zV3pqMSt1TzNaMFpmNEY2aFMwVG8zUWxLVlRZRmdEc1Nxc05qc1BHbmxXZDRVMk8xVGhZS0c2d1pXaWhZTU8xUTJxQ0dZZzhLbmVmUmgwdFdId29XV1B2MEtwT3I2d2NJU21yTEFRREdzZzlvVlZxcVRBakRDb1ZNMWErcDhiTVlYVzdLOFVYYlR2MEpwOXpSa1FmR0FjQ1V2Vm42YXFpVmxoNmxlMmN3Wm1oU3ZVcjZQcXdUR0laVlFQYWtKaHBsb0V4dGF3VkE4T3U5bzRBS0t0NFhhc09Lb2VIRU5UUnZVZ0hOWkFiQTJyMkExSW8zRllxeXBXeEt6d2ZMSUVGUmNTRUF2REtrc05oUXBCQzhOdHJJM0pVZ2JXeG1RSkRHc2dGb1pWbGdMZHhLeHdkYktFV2VHU09pVURvSkFPeEwrdzZ0U2dxMDNERHFuTXYwQ2RndGFwRVpxeWRBb0lhMlNzQXFQVjJYNTVvOTB5QUMwcGZCc2hUUVFqcUNVN0FtZjY3TVcybi9aMU1BRXpDeTQyMXR2aVNoSitqZDV2UTJVd2pVcGVFUUl2dDkvdVpZOWxjaWJKYUN3WkdZMGxseDdMSGtzV242TnJIc3pvNzUzWjdLNi91UlE5U25xUmpDZnhLZVZUbjRaSjRldTRIMmV2dFhaYjY3MlFJbDUrUGI3Sno3ZTJPcHMzVGkvMy8vYmcyWk9IenorKy9melJmeTR2WGVyOGF6c3F5Z29mSlRkWTJNRzR3YkM1VVdNWHc3YXU3cloycmcwYmUzR3pjM1U3ZnZPbG5XaXNvdDc0NlhlUzhYZSt2TDF4dnJPNzF4dDh5R1FnZDNhV0xpWnZQUHQ2UWsyOW5lSER3enRmOUgvMXpxblYzazQ0SkR2UmY4azFxMGRqY3ZUVUJDLytQUDR0dm9WOXVrWUNmMjNlREFtWnBraS9ERDNxOGROclNRNXl6SFAxeElsenhIeDVkcy9MWFczdWVTbkdmS1YxbzNzOS9ESmYzbXBkYlYvczdoMjlkVVNBUjFCUDNodVQwZWpYQysydGJ2Z3REcCs4ME5vTktYaHY2WlgybFY3eU9MblRMM2Qzam40TkIvZlZDTERqcjUvcDlucmRyYkczeEo5dzBMa3N0cVhqYkJ1MjNsazMwSzFra3hUQnh5SWJRclh5REpHTjhHWEJNOUtxNUZ5NmVNNWxhbkpBS1JzTktCTmVhcy8vczhOalphejdXOHpIdVVTR210MmVuM1BaaUdsSFRTeUlhYjk4MVAvMDMrZG4yc216R1M1M3g1Nkp2NGhKTHVacnhGZHJoSVkvTE9SbDdpK1FreVVydzhtR3E3bGZobFhMWGUwVUo0djVPRmxNY0xLY3BtUXhUY2x5SmlQeklTT0hkNkNOa1BsVS9Fdkg0MSttYVhSdVRHYlVwbWhSbTJhYWthMlR6YU81NWZFeDZ0VGNPNXkySDQwSXBjYTVkempCRW9CaGJQeHZma3IxeDRMWG95WVdRNmtIbjd4LzhPRkhKU2lWcGlnMVNGUHF2R0h0MGsrNmcwOE15cWE4VklScnVKcVdpbEhMWFoyTFRUT2NsWEI4SSt6bEh0K01YczR6d0pZUG1ZLzFnOFd4dnB3Z2ZUcEYrbkthOCtsTXpoYzVPVjhMQytkekxUMkQ2MUZmemxkVHpzVTQ1M09GbkorWDgvc1AvOXIvN243L2w1ODl1L1hrNEp2OVp6ZC9YWUwvZVlyL3BSdGtyMFVwT3lQN2FpVDdNa1BVUExKWE9jbCtzTlcraWUwRGFZcndBOHFMSnBNY1ozc2lMQ0cra2tqM3VVUDhtT0w3djNybmg4ZjcvWHNQbjkyNjI3OTcrL0RqcncvKzQzKy9mL0wwOFA0ZmYzaDhCM1FDb0ZNVEFPS3ZFUko1S2p6OGNXUXlFRUd1aEVDWUxrZUZLRFZHalpPSWlDbHlTWVNjb3NNSmhSQ0VtK1lEbkFjMW5ROEVVek9rY1lGZ0FRcEU3dm5BZzA4T0gzeFpOSTE1UlB0cVdnZ0lTUXNCRFlVZ0ZJRTVhMEVxRXdIcGw5RUF3OVVvQVdXR3FIa0tRQ0VVUUJKdHF0M2dvVGdVWERDSEN0QUlCVGo0Nk1Iem03OU5kS0M0QWlTTFN5Y1VnQ0hOSTgwanpjYzBuemZaRzBncnpWTlR1VWg5QTMwK1ZZODBrZXhWdzVJanBQbFpOUC9zM1Q4OXYza0htdU1ETnpnK2tHVTQzbkExY255WklXb2V4K2RON2hZTzVhWEVVQjQ1M3NMeHozOTc3K0IzMzFVUXlqdVMxc1ZRSGtONUc4MG5UNTdyN0xiWGU1M3VkaklleDBYL2VkTzkxbnBPNFJPVGwxL2ZiQy9XY3dLRitPODloSGJ4MCtsYzZxOFJPdCt1QTFqVGVWTDFBR3M2Wi9JK2hjbmhhbVlLK3dOZjFkVGF3YkFmS0lmNzhhZjl6OStMMlAvT3Y1VUkrMVBzVDRrYk5JOWhQNGI5QzZkNWtFU3RqZWFqaldTUjVwSG16VFQvNWFjSE4vOVFBYzFqb2hacC9nVFEvQ0xkSFpvM2dWdTBVak9RQktOOHBIL2JCZ2lQN2ozLzAxMzRTazNxU0E0WDZSL3AzMW42ejV2YkxXcnVDNS9WTlBwSGN4OG8rci85emZlUFBnUWxma2V5dXVqaW80dnZMUEdEWkhVdHUvUUl4bXNhOXlQeEEyVjEvK2QyLy9OM0lSZnAwblJXbC9tb0JhZ0Y3bXZCY1hBK3k1dlJKU3l3a0g1QWhDZWJSdnFEbkdFMjZ3dUo1ZnJ6c2Y3aGw0OFN3K2VIeDNmNzl4NGVmdkgwWVAvcjRsSkFVM01BNWtpS2wwd2NOakgvaGd5R3k1SDVTNDFSODZnL2I1YTNjTGl2WlUyWkg4TjlJT0wvK2cvOWI4c1kvS2x3bjZYM09XWjhqVEFSL3N4M3FpR0cvU2VWL0U5NDJMOUlDNGlCcEg2NU1xWitoUkExOWY0eDlRdTBSY08zM3g3czN5dXJEQ3l0REpqNmJRYjluL0RVNzdIUVBNanlYUnZOMXpiMFI1cUhTdkhlN3Q5OFhBSE5PNUxvUlpwSG1sODR6ZWRONkJhbGVVazFSdk5JOHpNcmVTcWdlWTAwanpUdlBzMHYwc3poZVhPNzFvM1ltRmFleUdZNzVjdjRwT3I2MFQ5dXhBYTBTYzhIMy9UL0hOWHhRM3I4UEwzZE1vL09MK1RoandoL0hQSDVjWjgyM0tmTldXbkltL3UxSHM0VkVOODRNeEIrVFEwZ1BKd0x5T2UvLzZqLzdxTmtuVyswaTl0blh4WFhpT1RvMmdtTmNHU2RMeDdPaFlkekxkb0c0bm1UdW9YSlBxb0JRckpIc2pmUEEzN3ovLzBIKzVXUnZTT3BYU1I3SlB1RmszM2UxTzdnK0xyNUMvb1ZaVFVON2ZYVUVvZHh0Zzg0dWo2NVEvdS8vS1gvL3Y2enB4K0hNZjdobDQ4cUlIeEhrcndSaGtvd3Z1bHlwUHhTWStRVTV5L1U1Y2w5S205aExRaUNta2IrcUFXUVdwREUvOVZvZ1NPWllOUUMxQUtIdFNBNFNnWmZhSFcycmNWQVU3blBCSElETGFCYWVTYnE4OG5SMHFlU1dtQmgrSTMxdHJpU2ZOclIrMjNTRWIvMzFlNzE3WTNPOXRYNDh4eTdsaVFyajhiVWxZMUdsQW5UTVdkRUQxUVhSRXFJWkRKb3p5OGxiQ1Fsb3lZV0pDVy8rZHZoNTkrVnlDU1RhZTBJMHBua2dLNFJNZStXLzZBVlJheU1qQml1NW40WkhTaDNkUzRWc1pBeldadzVFeDl6TldKaE9jWEMwY3VUTkN4bjBuRGV4S3U5Sk5NUFRJdHV0ZkJyZW5JS2xtUUNMYnE5ZGJkLzkzWlpNZzFTZ1hpUVhub2I4RFVTaVBCSGhhVHF1eEduWThVbVZtd3UycVFQOG1aa3JWc3ZjQzFOR1ZsTmNJdE5WQUZyTVAzSit3Y2ZmbFNDLzFObG1ZRWpXVmpjWHdIM1YxZzR3ZWZOd2xwTDd3T2ZtWXgzemV1NnF4cVczZ01SL0RmN3oyNyt1dFQrK1JrYzcwamlGV3Zyc2JaKzRSd1BzbDJ5TFlpWGRkMHJCNE40TjdaTHppQjRSN0twR01SakVPOXFLbFdBckt1MUJQY2hVMGhQc0JvU1B3YjN6cXlyVFhPL2NHUi9aQXp1TWJoM2x2dEJGczV5b2t6NVcrSXo3WkU2Y2ordXBZTGNOUG5ndis5OS8rUTkrQ3l1U0dkeEJYZERGM0I1RlM2dmNsWVhRREs2QVdVbU02aSt1b0Jta0J1YjZZdjBoQUF6dXMwZy9oTnVCaDBMd1l1ODlmTWhVMDhTMm5nQnZkYStxWDVla2ZSdGdiWHp3bEk3SHhDc25jOHBEcjNPenQ3QjNUdlAvK3NCWlAyOGtPbkpnbG9qTXZ4UmFvMzZOUHdSYzJvSTdKcXNVc1gwcHN1eG1uNUF5UklrRm9ldnNoY1FxVm1saUtlejZVV0l1bTZCZ01HNEcrV1ZRcVM0Tm4yUXJmUkRyblhFbk1FWUhXTjBteUFjUjR3dTh5Wm1yYlR2VTFOVUtYaGQ5enRHMm9laC9lK2ZQRDI4LzhjU3RKODZ0RmFtbDZqS2VaZW5JdVVqNWRlVjh2UG1ZNjFiM0FoTmpDZFoxWmJ6Y1ljYklOLzlMMTg5ZS9KL3o5Nzlxdi93ci8zdjd2ZC8rZG16VzArS1M0Qk1wV1NsSTNzWjR3NDN1TU9OQzVRUGtXcTFSZmxTMTNRSEJZenlnYUw4YjMvZmYzd0xOTW9QMGxIK3ZNWTVSdmtuay9OUGVKUy95S29iQ1hHT3JTUytxUkMvdmxLQW0ra0FGZUxmdjNudzhKM0RPMStVV21pYm1QZ1RndURJUWx2Y0xRZDN5MWw0d0o4M20ydGJiNlZrNFBGc1VwTlUxRFNiaTh1dG5ObExJWjNRbGVtRXJ2TFhpSElrb1l1cnNIQVYxcUtaWDBFa2RLWFNKcXNuQ3YzcmFlNmoxZU5HUWxlbXJCNlZUdWdxVE9nMmcvSlB1TlZ6TEpRUHNjQldLRzZ5ZE9wTCtiaStGb2J5eDlPNEJ4L3NIM3o2dStMMHIxTEpYT1ZJTWhjWDArSmkyb1Z6UFVRbTF4YmVjMXBUK3g3RGV6Y3l1Um5oZlRxVHF6Q1Qyd3pLUCtIaC9TSXp1U3B2SnRjcUJlWk1Ma29CU2tHZVRHNkpVRCtWdzFXTzVIQ1I5NUgzRng3cVY3d2lWL2tCOGp2eWU0VjdKYWNUdUNxZHdOWCtHdEU4L0ZGSS9VajlTUDNuWWt6a0xkSzBPUHBTR2M5SmxaTFYxTkVYRmtlZm9hT2ZtL29QdjNoNnNQLzE2c0hIVHcvZSszMkpDRDlsOXVoMExsYzdrc3VWcGZ4OXc5WEkvR1dHcUhuTW56ZVhheXZQRjFJWlRaM2FNaitXNTBNeWY5blFYNmV5dU5xUkxDNlc1Mk41L3NKWnZ1TDF1R2p0SU12UHFOaDUvRjMvN29lZ2dYMDZpNnN4aTlzTXlrZExaemJsNTgzV0Z0MTFwNzZjajd2dU9MbnJqazVsYjdVajJWdmNkUWQzM1hHQjhrRVN1SllvbjRtYWVqa1k1YnRScTVrUjVhY1N1TlQzM1dCOWpQSXh5bmUwVmpQQ0NFQ3RKalVlZjR0U2dGSlFiYTJtbnBZQzZoUGtmZVI5OTNuL1dQZzliOXEyYUsybVVEVTFkNURmSFRuS2NMcFdrL3FwWTIycDc4aEdPMGo1U1BuT2h2cDVjN3RxYXFleHlkcE41ckdtU1lHWVNueE03TVpBME9mUDcvb01Eamt2ZVhwaEZOVk1hNElqeDl1cVVvY1VHcTVHQVNnelJFNEp3TEVRZmQ2TWJzRTlOalVqTlNWNjNHTVR5TlA1NEp2K24rOGUzdmtDTk94UEhWQkxmYlZHQ1ExL0hLbm53WDAyY1o5Tlo4Ti9pS1N2WllNZXBUVTYvYWdLTTFXaFJOU2Zsb1IwMHBkZzByY1pVbkRDbmFEam9IeVNON2xyTCsyVXlsamFXVnZPeDlKT0YwczdveUJtU2dLSUk4bGVMTzNFMGs0WEtCOGkzMnVKOHV2ci9XQ1VEN1NBNi8zOWcvMzNJYU44a3M3M0VzejNOb1B6TWNxZlRmbDU4N3BGby96NmNqNUcrZEJSZmt6K2h4L2NmZjVKOGMxNW9pQm1XZ0ljU2U5aWxJOVJ2Z3VVRDdMRHNpWEtGN1Ntdmc1RytVNHM0TXFLOHRQcFhZSTdiemFEODA5NGxML0l0QzdKbTlhMTdzdW1wV2tCVjMybEFQZGxjK2pZOUVFSno0UWdhRGZZSC9kbHczM1pGaEx3cjE0TU8vakNQL3dkVUVzREJCUUFBQUFJQUVXZHhWakRocTF0b2dFQUFEUUZBQUFWQUFBQWNtVnNjeTl3WVdkbFgyWnZjbTFoZEhNdWVHMXNsVlRiVG9OQUVIMDM4UjgyNjdPeWxGSm9zdGhvVFdNVGpVYnE3WkhBUWpjdUxLSFVXTC9lV2NyZDRtV2VZSExPbWRrek8wdG5IN0ZBN3l6YmNKazRXRDhqR0xIRWx3RlBJZ2Mvcmhhbk5wNmRIeC9SaGN4aUw0Y3ZCRUhuVXNoc1UvNDFHYlI4QVExOWpOR1RnMC9DVUxjTXkyUllHd0phRmRBb1loQkk3QnBvVGNoME5Bd2NWVURUdEZsZ0RnUE5DaGo0YkJMK29FZ3E0RDVxSU5VNkp0QUZGMklSNXgxVFZLNlUwVEZhN1ZMbVlGY0tIbUJVa0pkWCt3cmFBTWtZSm8wR1NaTmhrdG5xdnRjdnZlRUo2L2V2Y3VXb29KVm54cU4xN21EdytFRnVrLzBWZ1ZrcnBiMStiNEl0K3FTaEczOWlFS3RobVA4dlNNWU5YVy9Ub2JwQ3piM1V3VVgyc0J6VmVuN1ErZHJMK3Y2b1hIbEFNTVhsbitENkZBUzltSXNkRElESDdqYnBYYTJHWWxjVW5UU2NXKzVuY2lQREhMMTYxNHlYNDRNTGVIQkZHakd6RmpQK0lIWndNV3N4TXEzRlZJLzVUckRDeGQ5NzdHNG5yRWpYTkhvcHBQL1dkN0ZJbHNlQUtoZUNSK29wNm5iWEJvRmRicXJtVSs3bk53YlYrb1hvdlJleHV6U0hWNjZ0cXJKSXpkNGdLdHE3U0xVT0JSYW1lZ0cvQUZCTEF3UVVBQUFBQ0FCRm5jVllKUERiK0RvQUFBQTZBQUFBRWdBQUFISmxiSE12Y0dGblpWOXlaV3h6TG5odGJMT3hyOGpOVVNoTExTck96TSt6VlRMVU0xQlNTTTFMemsvSnpFdTNWU290U2RPMVVMSzM0K1d5Q1VyTlNTd0JxaW5PeUN3bzFnZUtBQUJRU3dNRUZBQUFBQWdBUlozRldKTTZDZVlyQkFBQTJEc0FBQWtBQUFCMGFHVnRaUzU0Yld6dFc4dHUyMFlVM1Fmb1B4RFRUYkpJU1lxa0hnRFZ3SFlzSUlCZHBKYlFyb2ZrVUJxWTRnZ2tGY2ZaOXdPNjdyWkFkKzBIRk8zZkJHaitvalBEbDBSeGFNYUpiRm9hcnNqN25IdnZtUmZKc1YrOVh3YktPeFRGbUlSam9IK25BUVdGTHZGd09CK0RkZUsvSElKWDMzL3p6SjR0MEJMRjlFNmhWL3FrblBzK2NwTXhvRHBYRUljT3VlSDNQOEFsR29Oekw0STNRSG56ZWd4TURXU0twZklaQ1VpVWlaNkVjeFNrb3NhbUpKZm1nbE9YT3p4eFhSUW12VEg0MW5KSG51K0RqREtnRk5PQm5xZmxsQ0dsYUJyMExUT25HSlRpdWdQa0ZESW1wU0MvMzdlTW5LSXp5MmhvbHBiN2xPSVBJZEpoVGhreGlqRzBSb1VkaTFMNnpzQjBCb1VkalRYSWN3ZU9DOVROME5VeTlwMk1wTm04SzN0Yy9oS3VVdWtLZ3pPbkM3aENFeEl0WWFMOHVNYnU5U1dNcjhmZ3BWNDFVMmhNY0JCa0NyUGJGZlUrSlFIMlJPSmxWWlF5R2dvZG1vK2ZXRzZ5YXl2d0xWMjE5Q2NTdWNBaGFwUW9wSDVHZUw1SW1HZEQ2TEUwU1IyM0RmRkx3MHhEemIwS2M5RVlxYTF1RlBPUmEvMm90ZTAxcC9tS3JFTTJZakZSYzM4d3dDRWQ3UHBnQ3crOUNoeVVLK1FYenhJYzJ3M2VEemgwV2ZHTUx5dGVtcFFWUCtUSnZoc1RnbHdYVkpMUWJWVElVbk1OV2VyMlVSNXRxZms4T05SQWJUb01BdzM4SGhybE02SG02S2JYTlFoc3pnSER1OUh5RmlZSmlrSys1ZTdKdmVUbm9VdFlldG0xTS9aVFNYNEw1Si9CRlpQay9hdDlGOXhqbHpxaU5mdFhyWFdMYlpTc3RhejFyclNzZGFkcjNXSUMzVnV0TjVkUm8yYng4OUE3aVNKeXcyVXRvRXp4QjNSMDIzVmJGWDNNc2M5dzVBYW8zWWVlTitFQ1JUZ1I5Zk5IM2lVaXE1dTd4SWY4YnREVGoySWdlOEt2Rk9SYjVad3ZBU0EwZWZBQXNOV0dlY2MrWFR2T1ljeEpoL2ptOHVtZ2pQT1BGQUJ5bU1uNUVnQkNrd2NQQUZ0dG1FdnNLYVdSU1A3azluQS91ZEdNZWxSbFVBRlB0YTkwQXp5Y2Y2U2pSeWYydEJJdERjbnBFbHIyTjlkSUNEUWtSMEtnY3hDZ1BQR2l3cDZoOXdsdmZseG50dUNLbW5XL3F0dHFrK0hXWHZtaXovalNSWjlzeko0Yjh5amdTTjFvL0hxZzRLb0o3bng5dWNWVDZGNjMvTFZaM1BnTlRuVWM0UTdtRVZ1ZEtaZUVEWnQwTDNGNlBaL2dKSCtzT1NxME0xaWxaNFdZbCt5azBNZC8vL3p2bjc4Ky9mYkxwNzkvVlo1Ly9QMlBGOEpqUXhNU0p1bEpxb3U0ZHZRc0JSUit5ei9JNlVPZ1RBSTQ1NmhsNUYyLzlWbXF0MlorVld0YWJrM3JuclhlMFVSNkQydDBzU05BWTRaOEJ2RWQzUFBadmRVUnVUTVM1dWJyNG1Cc3ZocFFwc2x0Z1BqMzU5bUNMZ2xERk1mVnZpalcwdlg5cU5tcXVQM3BNbFljMm95c3NMdmxDUyt6dXdtT0Z5eGJnaGZ5MjVxRllndGg2LzR5VnlpQUNTWmh2TUNyd2pkdG9mSVdKZ3NHQW1GYVQ5bFlDcVBiWEtzbmltdTZYaTQzNWF5K29FNHdDTWc2eWVVTXJmNjNVWHNTRU5wa3VzWGVTZFhkT2M3YVVpM1NMZ0RxcTV4MURzN015Qm1KUG1WM2JPYjVIMUJMQXdRVUFBQUFDQUJGbmNWWU92Y2RodFlrQUFEYkpBQUFEUUFBQUhSb2RXMWlibUZwYkM1d2JtY3RlbVZVWEUzVDdTREJnaE1jZ2tNWUpyZ0dEZTZRUVFjUFRuQjNDWklnR2R3OXVMdTd1d1IzZDNlM084LzczYlBXT2QwL3VtdFZuZDFWdGF1N1E1UVZwVERRU05BQUFBQ0dqTFE0R0FDQXc0VDE4MUhnWVYvYmVqb0RXSU5xSncxeEJBQXdlLzU3NGVLWU1Fa0JBRXFBalBoWFZiZlVrN1FsVzlxN3VMVjIzWmtaUXBlcnNRMFQ2ZkFCbXNFYW84RmJONmlhNUpBcDZDOTJTWXZ0KzJPa1lJcm9BVUFVWlFjOEhLN0JXNkQzKzBoS0VSSEtzUmlLR3Job0VBRlRlWUEvUGxVbFV0Vm5hQXRKNzE4QlIxNFNoNTdoODBuYUo3RHVuTUJ6VVlxM2ljYmF3R0g2STFIZVFIclpvV20xNG90UCs5VlQrbGxJUTFsWVpHU2t1dlRjQzVLb0tGSUFxNnFvcUJmT0wxbnBZSll1WlZUVUN3a2lJQlZWRzRvWUhXMFA0ZmVDUUU3L3h1dTFTZGUyaU0zUThwMHJQMGlxM0xNK2syQis2WlErUzVTZFBsM09SK3V0OGIrNGxvVWZmT05WNWtJeWNXc0ZRcm1neE9pS2NJN2lBQlFEUDNmaElKMXdPRFZkR200dVU5bGMzZ1NFS0ZtZk1UTEVybTkwT1hEaVBmSkZUWnhTNTZldmJlRkdCVUNjRmFvTEJEYU9BRlZuQzh4UEVvZ0lpT25hd0JmT1Q5Mnl2RVV3TFlqOWtNQ2Q1a2RsNHlVL1ZYSHhXS2tOVGUzUmtEcXdzL0U0QW9yYWlBRXcxUXMzZlo4UDkxMmJINlJ6THRvbnJTN2p0QmxsL0xkVUJWL1haY0t4MEZaYVRra3R0MXpidUdkSGlSOFZZRFlTYXRZOWJWZElPNFljK2RCOHBkVXBEdFRKVEZGa0o5RERoWWJvM1pHaW9HSy82NWI1SkVZTzFQUHhCeUJ4NEJWaXU3K2pacWxjY1RyNDhFdDI0RjNUd2NnZjROd0w4eU15aDJVeVVvR2xwWEV5aVdWTitiOWxlbzZKUlVGdXh4NEQ4TnpNcjA3MjZmcklTTzRKREFhMkVUeFcrR0JWYWxDSzNxRTFKaUpiMlVqdGtOYnY0VWRzckJVN3pPcmRTZFhucGpWcDRZMHdDRUYxbnp4d1JyNGplYXdEWnRNRjc2QlcvTllxRVdrWDZyek1yTWZibGJ6MndmSGp0ak5NLzQ5UCtaS2lVWDFTdjZ3Zm1oTFlBQ05LUFUwQzR4WGV6RlRrUmxxbm1nN3pCTUJtQmtrZ1l3VGQ5cWtTbHhXRmduUi9ZbDN4Z0lMTFFUazVjMkhrZzJpNERvR3daZktzY3JhTG15bTlFVmdoTmZiRCtFNzEvUXpQNzJ4WkZFQ0RuMG56aE44dnRHck5BUDBjSnhYR2JRZEFabGtVZzVsZXVWNDRvUUtEMlR6TGlDb2pWZzBVQTl0aXNVM1djY1RBbVRSNU1HRTNlRGp3djltSjhjWGlBY1FNZ0FLaDNHWnhST3IxVlV4cC9NZVJRNk5iUmVqRHhlTk5DSkhvTGhFNmZFMmE5OXJRcmgyRUFoN0F0eksyWGRyYllSbzZMTE1hR3N2czZlRnpwbFV1ZjVtT2I3VmlaOXB2V2UzdWRXRnNUb0t3WTJ4ditkTVJaanpBTHJvYTVPbkczcXVmUm1Ra3c3Y1NOdU9WWkZlS0N3L0kyK256NTRHckpyOHI5M0dlbnZWQkdhWFgxNUVXV21ScXFVb3Q4bG8yUytxZ3F3VnNGTUFHS2tXRTRSV2FBMWVIbCt3U2VKay9udTYydXpqbUJCZzlYUndGd2xBQnNJSjQ2SkdQRE4xY2ZqREx1elM0SkpOSGtLY210M29MYnlDQ0VMRlRnRitUL2ZpWXg1d3RiYWdYRmpaQ3lXUVl0bU5LdUpMSzJyb2F3UmJqNk44bS9pZ0hVbXlHQVd5RTBuZExtZW00ZWZwaTgvdDdBNm5VUGhTam9ncHhndFZNc1R1Vy9BcURxSit4TXhMVjEwVjNTZ3lnVUtmbVNjM1VVSXEwbEljc2xUdVdKYi81SXJaNk1SeWZZTit4Uy9VSko5dnBFMUVkUW9uaEJYNDJ2WWFKRk55M2xUOVVFcXdhaStFZlBDT0wwSEJBR0s1V0pPa002SEhZWkdrcHdRWmZ5R09WM1YxTUpYY0dqSXZNaWdOZzJreVMzckwzU2V0OGxFT2lVMmx4em1SUjZnK2dsMzQvQjZTcXNPSUJ2dHRwNHZ4TUtQSnZFL0U3RWdnUmJ0aHZCNk5aUS90M090Uk5USnVBRlErbmZpT04rSmNzQ29oQjVQSkpaK0pnUWpVU1lvUmQ2WExHTUxBRFFDckZzMFJIYWxWb0dSUkgxN29qWmZwZUlIQTJIODRrOFcvRS9lWndrUERrTk15ek9FbWIrcFV4UVBwN3BHeFBvRW1IMVpTR2dNNnM4Qm5ueUFnN0J4eEpabnhkTmVxL3hNS3FYakh2WkxVUngrQ0I0aDV3RUxodHN1dkpFRHk5YjFPV010Wlo2RzZacHpnT3Z0Q3F0YzNtdSttRmJtYWlJVnh5ai9SMmY5dHh6NWU1b0xFazRjajF5YkxJZW8vV1VEVWZtVFFZeGpDaGdnS0k5V3hoWEN6U3VhWTFMTGZ1RVp3VjUxTkRFNUJDaEVLczdkSU9GWTQvSjlWZTloUitIelZLa2w4ZElqaldGeExZQzREL0IzcHBmVG5ZTzMrOXViSys1eURFRW9QSmh4UUFFUHR3M2ZBQXRtc0JQSkt4aEYxNkp2anJLMjB5YWpNbWxiMzF1b2ZFMzE3bllqOFpXeW1YYWtyZ01aSWswQ3N1MGMrMVFkbkR3MDVvdk1XajhpZUhLTnE1cHdiTjdCazNFSS9kOS9hWC80aFRxeHc4cHBpcUVjYXkwK1ZTeFNSaXFEbkxNeXI4a0EyaHgzRkFOR1hOaE5keDczb2NWRks1OENwY2t5czByYnpWWExLdng3emVTWElUV0N4L2lXQlZUWGVGcjMxcmdNR28wTHMwdzV1QmZ4eWdzcFg3b0VYc2NOTlVvQ2hGUmg4bXRwaGxxckxUK3RUdmUyZHllK2pZejVueXZEaTZ6Y0t0dFBhOGE3eXpsYURCRWpvcjNRK3A3a3VTNkVqdW94VEI4VGVrVndzaWdFMzhrdU5RTEZTOFZLOHhLZHdnNkt4cnUwdHJ0cEljb2xGMjNGNjNubTlNNTE2MjVKVzVWaFRmSFZ4Q0xtSlo1RUZZQWplU3hoRFdyZXkrV2tuR1F3SUZzRnJmRlF5ZVBBd1JLVWtxWGJrWXRwemM5Sm1MZmd5UjBSZGlDcWZmVm9WMTVRRFN1dnAzZVZvQXZEZ0NYblJjT2ZweHJrR0tEYTJkeGo2WDVmN3hhOEs5YUVCZFJDaEg5dENOeThuaUtORVQ4UlkvMDBINGVPUWdCTkthQ3JxVlN3UmhXdncwYVdiamcrK28wRm15TDI5dDFnWFNNMlNCNmMwVW5JbzZNcVFsR01BVHVRZXJwTWxCUTV0N0pFdGZhWEhoWUhNRlM3QU9FbFZGbzQzSnpFcGhJUitqNFZXSlladWtVbGNqbmhyQTdqNjhCdC9VUGdDbUpZajdBUGt5ckcwVVYzdGp1S2R2N0lKcTZEcTFCTGZEbmNPOGd2MXJ5Qkc2MVJBZE9OVkNIZ2p6UGR3WW80bUJha2VPdUVnVEZpNk5vVWZEbEZvRnFJaTU5ZG1LSXl4YXc0YUtoSXFQb2FuYkNzbzFVK0VuWFA1eWRHUnY4MVlGQ1VyU2d0Vm9TMXBRYTV6eTQxcGR4MUU1RE1hNWZ1L2xIVzJXR0lUUWFtTGI2UW9zczdRSVpJemdwMlU3YnFuenVZK21VK0FBeXBPTUhEM1BmUDdUWWZTMThHL0ttTFE4Wm16bDNXMlVqeEVvWGpsSForSjFJWjlCVU9uSlJaSUkyTjFoc2ZxNFhwOGtPbkg3OEd5czAvWUVEYm1JMmo4TmlScGNLcTYrK0RWNWQwU2RXUGY4RlRJUzVOUzk5cnA3NzhsME1wcnBjM3N3bU5IbWsyMytKUW9GSHA4QjBCZDl1V1htQVF1MTNwa3ZoVC9mSTR1c09rMWVHUFNpQWlDaHdRc2FFS2orZ3FqMHdGdDVPcXZxcjdpVno2Q1NPZy93My8xbElvelpVVzNXK0QvcCtNQVNiVTBqN0FEcEpRUDFyK1lMVFpWN2dYL1pBNjI4NzFlZjJnSG5xeEZyOTUzOFMzZHIrbnFhbmM5R3g2MVhqeWZKWm9kNU1Xanl5UTNSRXprdEtXd0U5RDFLeHk5WU9RWGlKRDhmMDRodFJJaUFDUEtkZHV6dWNqeXBYNUNQZ3VKNEFLQVNnS2FlbTZQRngzblBONzBaamt1SlBSNTlVK0hueld0b2JkdDJXSk1aTzc3ZzZOSVdEYnVJc3RwZkhLUlNNWk0rTlN4R0ZERVR1d1ZCTmxCL21xeVVtV1JjVk5OTjM1YSsxNlVqcU9XcVQ2RGk2YlU1dytyNzl4dG9FWlVKTGJQM1U5RDEyUzFhbkp5L0NCdEhudGNGcDdBUXUvOWx1c3pCa1ROSXJVdVpXRDZkakNCL2NvSmUrN2dac1ByY0wreXhOM3M2KzN1K3MydUk5RDJUd2hnSFd4WlpXbEloNlZmME9KVHpTZEhMZG04bnQ4RTIyVGVYYjRlb1lpWWRkaitsUElOeUQ0clNJbitjQlFYTnpCSEtyaG5ndjhjWXA4SE1rQjhrWG1uN3pqdkgzRzRiREpKNDNHaWRKUDVlZ0U2RWRZZkdNa1puT2RLUVlOTkRjYnpmQkZsenpHZTdLS2h4b3NHa0xCczRDS3hKWUZNM0t3NmpnRXhScXFxZkVBMXpmUm1xNXN2YUZWMS9KSEE4SitzcnN5aWFTV1JWUlFxQjVhS1VtRXFQcWNlejBuRHZjaFBEQnB6QlJPT2wwM3ZwbWlickxOWW1oUFViWDdHcE10czRUbDdab0xxL2JJVzJNWFdESW1KVXJKNnpua3NqS2Vpc1lLQnZIZzZPcW5NcjFIL1ZCNi9uTzA4T1ZWSnE3Z0RZTm1HOXNNRXBiNG5EYUNqSkJwOEZLZGVCdjNnbk5FTWI3RHRkWi9adWtGL1dFU1lEYmNBRWpJb2VGMzhyUjNmV0dZSjNQK0ZYK1FsL0htbmxYVGZIOWdmSjV5Nk5FRmw5RnRCYklKWlp5dGJlamszZE9GLzhpUkFmYUZJblFwQTZQUzNwaWZocUowaGNQdXJqS1lGZVc4SHA1V3ZPNk1vSkNkZ3o5bnpnaWpsYUxyQ2poRTMxWWlXSVlhMTJwNGxraWwxVmMra2YwZG5LMC8wWWxxOXR0SXd1UWdyMjZIV0x0aVJhSXBOYVBsdEhTNFlvYzc5ZlVaRlFtWWZDa2todXl1ZUFNaThhN25zQnZzbTkvcTFLdmJ0aG9UR3Q4YkhSQlRZVGR2eGE4cnVMbjYrR2FSYzZ3WmszV2tIQlJNUDZiMjU3UnNtcHhucjBxLzhTVlFIb3ptbWFlRHhvdGgxVWFtcjRzOXpmWEVhdWYxTHdMTzBsbGRoSTBSWHUyY09MeEdQSGZHTk5IZnhnek9oZ1NXL3Y3cUN1T1MyRG0zcUkzclhUNTZMckVFZThJWGRPMDJWbTJuV0wzSEEwMnNFc2FieUw5dVk5WGhVdjExZUZmcDhreTJiSlpWUDNrOFFsb0NQaDkrT3pHMmdWK2VXczBTWmp0eVJyQnpHL2hxa0NzVjR2VjJLdWRyTEpmTitJU2FPR2c4L1N2dWpPUmhEZzFNMG5WQjlhTi9WVDVmeEtjZ3AxdnBWbHpLZlNmVEZtRGp2YlpZZkdFTEhkYTlySDNXZGJteVdIWGpJckJrTis4YThGcVhKSXJXcW84SERoa1hpYlpNWFhiVjdMbTNJSHNYZ2FpU1hpRUJuMzdvOFJMczJPZHBVZnpKRCt6aW91M1luVEpISytPSjE2V1plczRmWEUyM3pKTzBuZkJhM09tZlhIa2VBZzQxaklGeFZWM0JLSElYYXpobjkrMXgyU0daR3JFVXJHWnMyVEZIbXQxV21DWEdHbkRtY09OZmd4a29QTFdmbGhoWDUxT2xHMTlraWprUnUrOVYzaFFGUVNtd2sxdnFBQXovajcyNjV0aVRBUmFtZGRKNkJLd3N2VEt4WVpnKzQ5NkpFV0tJSDc3V0Noa0k5L2RTZEptdWlIWjZFeU5RQ3RNQy92YTY1SnBQdjNGYTVJcDJyMVJtVWdnTFp2Tmx4blJGYmgzeEI1RENtNWM5bFNTck43UXhURCtMWHBGUGVVaTIxNzVHdjNFWWZEMmVleU1LbW5vTWM2cXRhZHdlLzJManA4dkZ4N2ZYRWZqVEdCcytIT3JmSkludXRuQXFxYzFnaVVmVDVvalh6MGtWWGpLU2FFMVFxL2hMa1FFN2tVak1CcWhnb0lmamMza3RuWDlyTU9PcTU1YW9ONjlHWVF4YU44RE1Ta1ZCUE4wMk0zWDkrRUZUeWF0RmlNcWErSVV3ZUtlc011eSsyUE05OUV2TlFlcGZZQytIOXlLaGo5V3dJbWJaZk9jd0pBUGUraHBMY3puYmtFS1V1eU11b2FqcW9URG1OWExyVHd3bkNzVWFFMjVQdGJOQlBEVldZSVhaRE9VOWRVUVBBUXpyQ0xDdXJEK25TcXpkclAxWnBsQmlrUHUrdjJsK3hoVktJaWJZQWVVTS9jSngxY3Y3Zll3VzdORTFOOSthdFZJSzFnRG9WN2F5R0pPSTRhNDhvVUlkQ2lVVWtwbElubmNmVWs1NWoyMnJ5OXdvR0c2dWt0ODJmV2daY3pPRi8ySS9nTGFwekwxWUF1WFpqS2hNdUprM08zdTRzTlNBbnJkdTNzZkRtV3hKWGpoQTJ5UXNBWTAvb25LblE0TzRzeEo0TFdWZ3lpQmNHWUY5RVFMaG5jbE50WCsvaHdhV3dmOW5sZ2w5WVEzSW15MzFia1cvWE9zeEpMUWZRd1pBaG55Z1V1QjllaHpUeE1lYUxCT2RyMUtFa3Z4c0hBV2d6dmlmSGNTKzBYSTRSTUI4ZUhKd3dhU0kzdlBjZjNEbnZLWmVWVUNPN3RrME5QRFRrZ0c1VXZuNzl1U3hTbFArbXJKa0hyK3VHMGV6T3hrWStBK3RWcnNMUUo5bmNLUGIzcUhYY2tGQXE4aWxENlBtamNiWlpwS1RoamJZeHlDZXZrcGJPUU9FenlzWlZtUXJpTS9rNXROMnpGbjJoaitJZ2c2dEk2Zm52MDhCYlMyUWFwSEtVcnNITEZXRGNNMk9HVElhak9ZeE43dW05dmUyVHdaWjhUc1dpUDc5cE5SVkpYMjhTQXdvSGZzcjQzMVNlMy9UZ2JSM05wTXg5WG1uNzlqQndFQzd3aFVmdHhmRTdXNVB0eVUvWnN3YldxQk9VcjhxKzN4VjMxUllRWko4Q3czMXlRRWVVNS9WRUxSNWh5dzNMenl6b001cXVKVzI5akU4SW4zdUNvOEdyVGNTVlBrKzNRc2MzcG1jYUNZSzlLRkh4aGk3VUo0eHJUZG5ZVTh2WkhhRHM2VWZXdXpCRXAwOG13VWZIYjE3cWsyOWZMbVpaUDNiT3lMS0ZnMjh2SGc2WHVWdmlaQlM1MHhJY3N4MVN1cDRuN2F1Sm1ZaHJkTWUrSFRBUGVmb2lsL1E5bDVKTXhjeExnQ2xQWVV4U042YXltVVo1cXFDTmZaUnNPYnVzWGs0NnhiL2JBbFE0NTVudFlicXZ5eW4xZjJ1Mm9FbDVUaitlc1YrSG9yTEtNUkwvOHQ2cUI5QmtsbElQdmFGaXNkV0lzZTM2ejUvL1lzMlVXdW5RZjdZb1RFcHZxWlI1SFRBUDR1Nko4dk5PVXJTMUJwem00anZ5dU9HWnpkREIwb253c2tGOUNnQWMwdUVtNUcveUJ6OEZJbmxHTC9Zd1FsdHB1STBKbUxYUkhacWViYytQTkFBV0tYMk9DWmZMZG1STGIxM2MrS09SVHZJdElvQnhtdmFsenphSUhmMXR5dm1PWHRMQ3lNT2dpQjRaWm1sT3kzVHJHVW55dHRBc091OWR6U0QyNk5SZEZNbGc4aFZtenprazRkMW1uTUx6Q2Qzb3VNWTUyS3pQcnRTRUpqNjk5Yzg1OS9Cc0lXUTVJS2N1endNYzE4Z3N1dkdrTlNPS0N5dEF4dnc4bEpiK2E5THJNL20xV1dkQlNxMzhlRS83c0tWZFlyNWNrL1NtYVdncmtlWDU3WE80akRaY3Azb3J4aEVra04yUlBCNVpsWTdyM2V0cGtxck9rZVBEU0p1T0N1UUlCWnlSUnZWQkJiU2FSbjgyWFpvYStlcHZjR0xhRFc5bWlqWkJEOXhvTnpTU0YveWdwbENoK0NTczc1dlViWjFxREE0YXRacXlZU3g1V3NGU3VNdVE0QmduWFNGaUtDLytEdG8xNmZiVUVhY2Zvb0thMmxnWWdDSVl0QjJIK0preW1PUmhUVWNwRjJNdlo4QS9EVHJFdEZtY0RhamRUZHZHMzNGaGw1bHpMbHU4YVhsUHNFRkQ0SXBMZk9FczZUWFR2UWFBQVI1R1Q2WGo2SDduZEpFdk5NbHdvMGF6ZmFHZG9IbDV6dU12ZnlnTGpSY1Z4enAvNHE1RjBieE95RCtCYytEeFJiN0xqSUhtTnY1TVEwY2FnekhtSFp0ZUZKS0lRV09YYlFMM2pmWmVQQ1IvK2Z1bkFqbUNhcnJXMU5OajVFdzVlVko1RlVWRVYvYk1YdnNJVWdMVzBzS3ZRWHpVeXowSmNOSmpNQUo1bi9iWUgra01BZjNTN1pENFRDcHlyeWlQczJRNytmaU1mZGdJbFVSNkdzRnl5cCtkUkg3c2ZsRWtud3k5aDE0WDk3Qyt2eUsyN2VOZVEvVW9LSlRGWDFmemEvVmFvVlpuQlpoanE1R1J6dTlUMzkzZHNVS3ZHMitTdkhaK1o0U3c1VXdLUytja2J1QXNBWGdoRzRtSlIrYnBTaHhkeDVROVNMZWV0c0ZxdXhXVkVuQTgvOHQ4a1Y5eFYxWGFzRlpZUTJWVHhTUUdWd2xlaDhmdDVWOGNqcktENkZlcDVTMk1Xb3o4OU8yeHJXaVVmTitGbkZPK3BhdThoeGRpRlBhUWxSWEpQOTM4QUJ1N0VLU2tnZ1FsWml4TEZNWnJiUE5XcHBhNFBScHlPTEU2aXFCTHNJRmpWOFd1SDN0SXlzc3pmZjZPbXVkSXh0UmEyMHZVV0JVT0hvcGlPK0FuaGpCa05GMnhxd3VLaWp6YmIzeTdaTWRvcDRKdDNOaTNoMVdlWWUrVnNwZzgydkhSV29HTXE2WDZvUFFVcktWRnV3a2F3Tlgzc2RueDROdld1K3lILzdlTE4yVGY5N1pKbHJneGszK0t0ZXN4N2hOTGhmSEZPK1hhNUxHMjdwbWFIVXRicSt2ZElMeDJ5OG5wWjRlWkk3WEp6K25udjNaUFVtOFdWL3B1QjBJcEZUS25WeEt2cjJjbkxubS9scmo3cEd0MFRNUTFPVEovVWwrZVNqOEpUaEF5L0YyaGFldmNtYy9ua0duR2trRjk0Mm53Y3Q1ZVlEakRyS0lkaDRYdkNEdFRmVFBnOHlpQUZXVGs4VnZYL1h4bUMra2FvOG9VWjYxK2VIZ2pvRExMbEUrRHBqNTV3U05XUjUySjI0TzV1SzNmZzJnV05maUlhaXhIemRxN3JyalZGSkNLUEduYys2a3U4NU1rZzgvYW1RbkxTaGw1WEt5bTlYdCtRNnFiVEp2YkVEa0RhWXF3THNnNEk1RDNkaTFJRmpjWlpmNnJXSGc4TUliU1hUejRpTFp6cFJZS0tnSEs0VzBORzBXd1dKdHdRYnBrQ2QyMmZxaGxVQ1Z6ZjF4SWJad29HZ0E1NkJjN0lEdTBIaS9IOTdmb2xZUzdUL2lNaGJUVTFPWDVBVjdHRURzLy9TdHdONXN5ZnlCYjZ1U1lGck5WOXo2dXRFV2ZQZGlyWC9oK3d3QWV6R3pmKzExK0FIQm8zL2xia0lCM2NyWmcrRWhRU0Rib3dtZzY1cTBFWWp6aXNBL3MwUzBUMDVMeW9kUGZ2WWNORFFxV2pxc3lqVzFld21qN0IyMnBhT1pRdGhaSVYybGgrRlJkbGx6czMxYVowOW40eDFBOUNvWXdzS2tNUXAvMkNpeXlvVmRaS1NCdW5NNk5KWmNWZStPTWtRenpVd0ZSMVlaeklrWENuTU5lK1ZhM09nNWI1Q0hvYXEwMnh1Z1pKZmd2UWZwK0w3Rkx2VitxNjV2a25xSlNodWVGbXhYWXo1dm5TVllNVjY3ajE1dEZhdjEyV1NlangyRmRRVUxPejA2aWxxb3FYLzJLeE0xLzRtVTh2NVIzbXg2MVMzMXV6OHR0dGlTWnFuQmlucVcvR2tDbE9VMU9mR3pXdUJDTy8yZURXdnF0RGo1bVRzL09SYXJnS3F6dGFzNWV6dFhSMTFHY2hxVFJNaWxWaDNXQUFVd2Jac3JIOXNESVYrTytsYjRkdzQvNjd4alpNditEWkVBaFQ2UlNLZU5FUWVwOHVlR25mZFN5WCtMT0lxeHFRa0Z1ZFhRaDNsTFJYWjBJbVRuMHdwNmdvb1pRZ3poaERiOGhsdWNUbUxZTmxMRzlLdHExc1ptd3FUWEJaNi82aCtheDBkZkQxbm1YcTdEbUZvb1NaUlFCSnZiS2lTcUI4dlhsMzhuVExzM1p2aERDTnhVVjdqK0ZRSDNOQXdEdnlZWDk5cW5jQlZjQ3RoYVA1Y2hFVUgrbnVBVEF3ck53aExnOE1wRDc0eFpFYzJZb0tQMTNmbWJmL1RuUWJkWUJKNk5DcVU3R1BWaUw4Mkd4RVp5SmRYdXEzSnZUTTluMDBvT245dE14dWIraU9ZYTdJOXVkUmdZVUlpaCs3NXFPbVZnZmkxeURiM0UxQ0JMbGVTL1h2aXpadDVudGg0VFpmRGdLZjcvUkpYdm9tQjlZRStjcjVOcjRlcEpTbVhmTzhiWFE5bmEzNjdvMVpHNXk5Nkh2NTh3dmZJeHkva0wxbkdxNy8rUlFuQmUyaEUyWU12Uko5ZVhUYnZOTlBtbi9nUzRjUFM5U0VGL0tJaEt1QUlYVk5lWFVOUTYxcDhyTG1oWjQ0QmxOUndhM3M0NkdIeFp6Y01XcllSZHZsbE5DY3RVelg3RThoUVpLMEZLSUsveWtYVkJ1V2djZnNqMVo3ZXFsS1FvdXRKV1JnODN1cFRmQVhSaGI1dmpFMGwrNVR1K0x5dFZlT2k1VkxmNTcyUjI4cndZVmV6TlhuZXVHdUdGMERIMmN6Mi9kM1B4OWNmT2FHTlpOMUlSN3Z5c205SGllWThQaXhLb0pEaEgzZVV3aDJiR3F2ZFFib3RVcHIwSDQ0bUlzWWU3dE1iNEIrNGxMRHorMlNCR1F1YkY5Q2V3aVZITmZlZHNXOWg5Vk1DZVRJYnFndkVNcS9xZFVLdGEvQ0MxUkF0a1R1L0V0b05XcFU3QzNzZ2E4bjJnbHhZck94bHpzWS9JVTZkVUVhalppUTFscEFwVWRqTGFXUHpzM2I2ek1yVDZWYlpPZnhuVDYvMjU5NmRRSUtZeDkzdjF6SU9tWEFRdHhxbTJwL0RWZEFOSFdaUlRNNHdCUEhrb1RqQkk4VGl0TFNpalJGbXFFOHVTY0c4bGo3R0Z0eTBVR1VUSmI2NkJCVnpIZzdRSGc4a1lOSW1iWS9ZWHU0aHBNTmgxZmUrZ1VPY0k4SkdQRTJLeVE4MnllQkpJY09nN2N2T0x5L2xLcVNKS0Rxc3JIV2wvb1RaWnJFY1BrRkIzTXBaV0ROZGhodzE2dWhpODgyMVArZFpEbUtqeW1KVXh3NG1SVm83TERvYk9QRFJ6aVhXa3M3SGJSNW9mRHhsQ1pSdUEyc05MN210V3pqVFJEZzVmQ3AxMGhVWk1xaStsTlVSQzBvNWxmaHcrQ2NCakV5ZGRZMW9jY2ZxWGtsUEZyOTJIMUphUXoxSkFaNlY5a3dFaW11VmhEbUwzTFRqeDY0Q05CTHlEVWxDaitlT2pXYjdSUDlIUmY4N0dRanJrNFVtRWNvbXBNd2RiSlFPUS85Um1ZMit2NG9IaWhPN1liUmtlOExEVU8wZC8rTWlDaHN1VHlzZlBEYldZNEhxWTF2UlZHYzV0c0RpYXJtWU9JMVZwdlE2OW1iUzN0S0RIb2dTODlJWWxVQ0d4aVZEN2Z6dW9DOVozQnpGUmptYWJYaUFPTjV2d1QxV1pMUCs3TmZSRlZEUjhMN3kwb09zMy9wVExnc0VwUENVa05DL3BhSis3NjBEa2x3VnMyUlExS2pvUWNlTU1Fc25sK093UGRsZDhCVmZaSW5mek5OOTNPQTVydUg2d2JlcU5DOEx6TW4rb1I1Sno3T09sNS9zK1lidmxVMXFGdktjeG9NYnE3UEZtK0g2U1k1WWhsYWV5T0hYOE50OEZyeWxXbWZ4bytWV0pDT3hHcEpLZExBeDNJbHBxaHBHV0hYSkJ1enVROXU2dDNhSGxGMXBxRzU4aWtJTTgwUEpuNElRN29qTEdFb2svWTRzMUlwaXk1MDRzeGY2cDFNSVJ3MDdGcXV3eWJIaWFmYXJxYmpkMkhMQ1RhKzhOT3MxOWtvNkJycHVPVk95ZnQwMGRsYlp6M2p1QWhaNTdSWWpocUU1SjJnVVZUQS9YQ2NzMXlLWmVwOTkvRUVYOWJJTFEwRHEyaFBOeTU5RFpxT0oxSm1WOEpnVHBycUg0L0Fkb1kzR3BJVmIyMU9qNmU2T0ZkRGhvb1BPWW80dkxTWlNHcHhkbVQzVWE5QXNsUU5rYURKMjJucU1BQ1ZGb1VBV01ib1V1akRXQ1pJZUh6R2xCbkNXSHFQb3ZJL3hmQUwwMm14TkNvRXo4TDNHTnlFL3l0N0RKRGVvWWZ5bzBsSVJkRnNWdUZwM3lDSTY4QiszNVJ5UFlFWGRkU3RFMXRBYnh6elViR2t0cUZDYkVyc0pHVkRTMmJscWVvb2lXdHMybm03Vng3TTE1R0hVWDNmcHFVL3BYbCtEYnlPYVBzdDI0KzJNd1llMlhrRkFueDQvRDdhNWJ2TDhhUTFLdFpIaXo1SzJjWDBwdG5yVlFTUi92TnpPWmxVMkZ1ZmJ1RnlkRDRKRXZOaWozVGNsUHZVYkVvOGUzTjlmUkRkUUkyUHpLRXZjTTJKZ1UvUU93TkNuSHlHczB6T3M5Q0p0OUwxa2xnZ0J4OVBQT3FtNkFzc3ZMRzlUbUF3MkZ2a3lyS0dCQ05wSVppc3Y2WCtzM3I0OUVlTHM2OGRYSW02dnFYejQyQkdwOHhNOG5NQng1ZDlhTEZya3YrR2ZHNTVKN2pOYzlLZXozWithOExPaEFLVUhBNFVwM1g0Rm1wK1h2RzJZSmJjY01laEdoZDhpaElFUDFETS9TMWhOMW1qajRkWHVNZWN2WDQ2UTVCaHhRbDNMaWY2T0RxcVlibUFVM2c3dWRFWWNvWkJsRzQ3aGZ6SHhFMkRxenFTTW5Zb0owanlaK0I0NUZsb1dkanFhRnp6cmE1c08yTGVqaEQ1dkxVdHV1bHBHVnR1S05vYis1OE9NQ2x3N2xTSUNyRTNUT1hDQnVnSUt4UU1aTFIrdUhub3BCS0ZZUDRzMFYyNmR5em8wUUwyWnV4TU8xTzMxMDhBY0h1TUw5dzd4NXhkLzFLa0psZWE1MVF0ZWxZTWJJTzZIY3o2a1IxSzFWQXRTVW1rNllKcU05QXlKTlF3S3FndndmNUVRTUNZTTc5MkJTRTkvNTk0aHQrOWpmWTdUWTlBbDNFL0d6UXV2LzhPUUQzbnVQZWF6RDNXYm5SYTVhSmpzQkpIb3c5OGd5TEZTOHhxaXNwRXQrdFhNM2NGNHBDaDlNWkxMbGpqSTBtTGZjRnRMVTQzUjBmQ2kzZ2YrSEJEcGttNE1BamVybmdZMm5ldk5LZFZSSHdPUTJnRS9lbURyc1dhQncyRHVEYU9Bei9ZanJCZE5CVjVMTkhJV3RTL2ExbGxWMC9rK1RGZXJlZmRxWlNUcGYveE1EdFB4MzNpNldKeUJtTlA2OHZpVGZ4RW9KZDZSUjR5eDVwM2JLM1BXZSsxOE9QdHRuTjdsTjZrVFpVYmNhNWhHbjhSY0tTMkhnNnNabmljRUdHQk1aT1I3MFBxNENOUXAzRmlwSjloU0ZBZUVwbzk3c3hQVGpHdEpwdFVhVnhUYmNNd056YTFaVWhOUXZ5UHNqM3dOcVkzN29ZbjEvb1dUWDgwakVLN28zYlB3bTI2c3pBcFdDWnVsT3hJWlVUbkpMZjV2eU9RZm1UWFEvRHUvN1pxaUVGZmZSVHJsZDdmams1U1Q2VmtJdnhZU0VMOEZJZXNmMFJxbmVISGZEUnM3UHhVc3BsdEcyTEQreHZpV09nOVZRRmdEM2F2Z0xFMDJUVXNVK2ovSFZGZnFUY2x6eUxiOStFcjgzOXJ2UFdPRzlOcFpjS2lTRDdNdW9qYTczN3BBZ1FOZlp0TmxtZWNlZVh0bWlTVlcxY0F0SGhqNWVEYTF5NHRpV0JmZjZQN2I5K3RHTUZ5Y0dPOUdNOEl4SmlQYk14U1pjL1VGWmIybUZ4M0ZBQjNlUTBDQUJCLy9uY1hBSjh4TFZBV3dXZ3o3UGRpNHErNk9tQWY5bWVCTDlrR3ZMLzNkaDJrZHBOMXYra0ZoYlpqcWwwRHJQY3A0TWxNRkJvU1A1SW5zbFhvTG81OW1DSEdZeEtlcUNFREZGam1vSFluenpZYVVxajM3ay9QZUNaaXR5Vys2MjQwREJnQnV3YzZSUERzOWVpclREVXNDdWRJWmp1azF1cWxLMlhWZUh1ZGhYRUk0KzNDTFJwWThLdVNFT0hoV1FEdVZ4VkpwLzRSd0dSMHpYZ09KTXBLUlZUdnh2bGlVbmNYRkIxV29aQkowQzFTcXQ3L1ZpVTVTc1UvbmdoOFBoNFJHTlV1YkVoVkhCS3JOZ1JOTFNDV3pDWW10czVvOHc5dTdzSmtqTTE0M3Q5ZkttZFFST2pXdnZvVnZ3MFFwaUNtKzByVEtVVkFzeDJOM0wrd0JjOG1DcUZ1VnJYSmFaeHRaSy84Y2U5UGpIK2FvNkI0U09LTis3dXdYWnJVWTdhMDRQdjZJcGtHZ0V4UmNvY3NuWHRpMFZzdkl5eU8wcmdlSEo2OEJmMUtkeElWR2t5V0dJYmVUUlVNdWl3ei9QWXd3OHMzRmkycXZFQldIbG9HekNQSlE5Mng2MVdHYW5DQXJZZVk3dTd2QjlKalhUQW8zc2RjTVB5V1NENUttSjEvNTZaLzFwQnVaU052VHo3dDNIUlYwaEswcG4ydzk1VXVHSzhpOHRmMURIWEowODYvN3RZdUdJY1A0TmppdEUzZ1g5RTE3Mk55bGcrUUlRSUdpR2VRVkpDbEoxVk5XMWVIWHJhRkhtM3lXdnFjK3lxeEpKbGlLWWMzeUJNQkVmck9idEU0dFpkMER1YTB6ZmgvOTJhZDNVYWhTbWlsaHZqYU9xTUxmcWF4ck5JV3BrVzMvbUdyNlc0aE5QZ1UxRnZvbHJ0NWYvRDlZaWIzdHV4bXZPN21yQlMrUTY5dlB3NFZsbnRod09YOTR0UW5ZODVFUnA5STJWaWZGcGhqS1lKY0wxNFl1eDRObnM3R3JKVHU3dUY4akcvTUlvK2pibzJHbDgvUFp1Q2JjZ0h1TVdMOHdmRThpM0NqUTkvRE1OaHY1TUpiR3laS1N1V0tDKzg3MVBwazYrMzI1ZzBxTWJpN3dGVFg3NS9Gc3gvcCtySGlEaU9EdHJXSlYxdVZMeXJWTGUrMjgzODRLNk5JeFgwMThhSG01aWlDWVorMlpkaW15VkVFQ2k1bmNxdTdPWDI1Y3oxdGZ6dGRuZjJ0RmlEZnRpOHdQeWk0eVBTSEhrWldDZ09QbTJ6S09EY2ZDclhJUDNSOU0vR1Q2Y3N4QmlHdEoyQVYyN2dYZDBUVVgreVNXNTE0dlIrK1RTazNlZytqdmNWNktIQWQwam9lSm93M094eXQ1bndYNmJmYzJxbWh3c3RUK3FreE5EaVZPd1ZsQ1VYcVFSM2cwckwvSkNvVGk5YjU4U1JVMWlJWXVON2NMTUVxSDMxdjh1SUczYmNSbUplNnI0WkgzTGc1WEV4NlpVMGZZS3BCandXbUNONmRMMnNqZmJJayt6V0VYZlg0ZURKelNKRWk2RWlOdnlJRXZCWGJGdllhMnJRclpVY1gvM0xQSC8vSFpvL0IwSk40NjNMdkYrV3lQeG1tNHRVc2N2dm9oMUNmMGNobys0ZFRIdm9oY2diUzQxbWVRMmU5c3Nieng4bjZvakNya1Z6ZDZRQVk3bFFpYVVqeVU5d0FlT2tMajdUeXIwdTBjVVNJczhHcXBuNDhSRDNTcFdGTjByNTFXYzVtNnNoMHFsMm9taWlBNVdRWkFUNVF2Qzh0dUJPOWl6MVluQWNiTEtPYUhvbkdHbVVIcEFhZkFXalR0L2VpYmUxMjRhakkxRVFGclBxOXZUTGJlVFBFdC9UMlRPck45WjJqUmh0eXdqdzZVTVhvdHYweGl5aVBjT2k4cy82VVJ3L0xQZnBuY0dIKzd3YlBodGIvdjhjVGVFK05IaGVKclIvNEZ4ZDNNK3dOeTJUQkNPdmZReE0yQVBiSVNDaUtsNGthK1A4L1VFc0JBaFFERkFBQUFBZ0FSWjNGV0lCOG1zNmFBUUFBNXdNQUFBd0FDUUFBQUFBQUFBQUFBTGFCQUFBQUFHUnZZM1Z0Wlc1MExuaHRiRlZVQlFBSEUwOWdabEJMQVFJVUF4UUFBQUFJQUMrWmJsamJybm9KNkE4QUFEUVNBQUFJQUFrQUFBQUFBQUFBQUFDMmdjUUJBQUJ0YlM1aWEybDNhVlZVQlFBSDZ0cnlaVkJMQVFJVUF4UUFBQUFJQUVXZHhWaWxKcFMwQWdnQUFFRWJBQUFQQUFrQUFBQUFBQUFBQUFDMmdkSVJBQUJ0YlhCaFoyVXZjR0ZuWlM1aWFXNVZWQVVBQnhOUFlHWlFTd0VDRkFNVUFBQUFDQUJGbmNWWW9LaFgybmNZQUFCOUxBSUFEUUFKQUFBQUFBQUFBQUFBdG9FQkdnQUFjR0ZuWlM5d1lXZGxMbmh0YkZWVUJRQUhFMDlnWmxCTEFRSVVBeFFBQUFBSUFFV2R4VmpEaHExdG9nRUFBRFFGQUFBVkFBa0FBQUFBQUFBQUFBQzJnYU15QUFCeVpXeHpMM0JoWjJWZlptOXliV0YwY3k1NGJXeFZWQVVBQnhOUFlHWlFTd0VDRkFNVUFBQUFDQUJGbmNWWUpQRGIrRG9BQUFBNkFBQUFFZ0FKQUFBQUFBQUFBQUFBdG9GNE5BQUFjbVZzY3k5d1lXZGxYM0psYkhNdWVHMXNWVlFGQUFjVFQyQm1VRXNCQWhRREZBQUFBQWdBUlozRldKTTZDZVlyQkFBQTJEc0FBQWtBQ1FBQUFBQUFBQUFBQUxhQjRqUUFBSFJvWlcxbExuaHRiRlZVQlFBSEUwOWdabEJMQVFJVUF4UUFBQUFJQUVXZHhWZzY5eDJHMWlRQUFOc2tBQUFOQUFrQUFBQUFBQUFBQUFDMmdUUTVBQUIwYUhWdFltNWhhV3d1Y0c1blZWUUZBQWNUVDJCbVVFc0ZCZ0FBQUFBSUFBZ0FKUUlBQURWZUFBQUFBQT09IiwKCSJGaWxlTmFtZSIgOiAi54mp5ZOBLmVtbXgiCn0K"/>
  </etc:cellImage>
  <etc:cellImage>
    <xdr:pic>
      <xdr:nvPicPr>
        <xdr:cNvPr id="5" name="ID_7794BD8012B140C6A53D8D5BAD08558D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2305" y="7665720"/>
          <a:ext cx="3609975" cy="50387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8" name="ID_4AE6466956A84670A6A333F8B2539819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4273550" y="8075930"/>
          <a:ext cx="3609975" cy="5114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7" name="ID_78EC716B488944C69A8856A55201A13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7904480" y="7874000"/>
          <a:ext cx="3609975" cy="51149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18" name="ID_93DBB5067ECD44BA8BE64A6F0549230C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359410" y="12685395"/>
          <a:ext cx="3609975" cy="2886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0" name="ID_006C065CBDAF426D97DBFDDFE986B94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4172585" y="12652375"/>
          <a:ext cx="3609975" cy="2886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3" name="ID_8FBC26B111C34E0DB7926A3900076399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484870" y="12786360"/>
          <a:ext cx="3609975" cy="288607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6" name="ID_50F9E4D6DCFA410ABFE21E567917943C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449580" y="15958820"/>
          <a:ext cx="2724150" cy="2857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27" name="ID_FB21F1EDD19244F5BE5B29960A4F9BEE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4168775" y="16233140"/>
          <a:ext cx="2724150" cy="2857500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4" name="ID_EF2E23ED06B749A4AFCC5AB80CF9A2B9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1669415" y="19100800"/>
          <a:ext cx="3609975" cy="2867025"/>
        </a:xfrm>
        <a:prstGeom prst="rect">
          <a:avLst/>
        </a:prstGeom>
        <a:noFill/>
        <a:ln w="9525">
          <a:noFill/>
        </a:ln>
      </xdr:spPr>
    </xdr:pic>
  </etc:cellImage>
  <etc:cellImage>
    <xdr:pic>
      <xdr:nvPicPr>
        <xdr:cNvPr id="32" name="ID_EEABB995407F4FC4941C08C9E2FF86F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2308860" y="21544915"/>
          <a:ext cx="3609975" cy="3714750"/>
        </a:xfrm>
        <a:prstGeom prst="rect">
          <a:avLst/>
        </a:prstGeom>
        <a:noFill/>
        <a:ln w="9525">
          <a:noFill/>
        </a:ln>
      </xdr:spPr>
    </xdr:pic>
  </etc:cellImage>
</etc:cellImages>
</file>

<file path=xl/sharedStrings.xml><?xml version="1.0" encoding="utf-8"?>
<sst xmlns="http://schemas.openxmlformats.org/spreadsheetml/2006/main" count="48" uniqueCount="46">
  <si>
    <t>系统名称</t>
  </si>
  <si>
    <t>物品tips</t>
  </si>
  <si>
    <t>修改时间</t>
  </si>
  <si>
    <t>修改内容</t>
  </si>
  <si>
    <t>修改人</t>
  </si>
  <si>
    <t>创建策划案</t>
  </si>
  <si>
    <t>马斌彬</t>
  </si>
  <si>
    <t>设计思路</t>
  </si>
  <si>
    <t>系统定位</t>
  </si>
  <si>
    <t>1、游戏基本功能。</t>
  </si>
  <si>
    <t>设计目的</t>
  </si>
  <si>
    <t>1、基本功能及对应引导相关。</t>
  </si>
  <si>
    <t>功能设计</t>
  </si>
  <si>
    <t>功能入口</t>
  </si>
  <si>
    <t>1、一般状态下点击物品弹出。</t>
  </si>
  <si>
    <t>功能规则</t>
  </si>
  <si>
    <t>1、将根据不同的物品类型进行分类。</t>
  </si>
  <si>
    <t>界面规则</t>
  </si>
  <si>
    <t>装备tips</t>
  </si>
  <si>
    <t>1、物品基础信息：角色界面点击身上已穿戴的装备时弹出tips。</t>
  </si>
  <si>
    <t>2.1、物品框：物品品质将有该功能呈现。</t>
  </si>
  <si>
    <t>2.2、物品穿戴信息</t>
  </si>
  <si>
    <t>2.3、强化等级</t>
  </si>
  <si>
    <t>2.4、阶级星级</t>
  </si>
  <si>
    <t>2、属性：共有基础属性、洗练属性、宝石属性。</t>
  </si>
  <si>
    <t>3.1、若对应属性栏并未存在信息时将不显示任何内容。</t>
  </si>
  <si>
    <t>3.2、信息排列顺序：</t>
  </si>
  <si>
    <t>3、按钮：将在tips右下方显示对应按钮，类型对应按钮请参照前方脑图。</t>
  </si>
  <si>
    <t>点击背包内的装备弹出的tips界面。</t>
  </si>
  <si>
    <t>1、宝相类行：将在此处显示宝箱类型。</t>
  </si>
  <si>
    <t>宝箱tips</t>
  </si>
  <si>
    <t>2、获取途径：除装备类型物品，其他类型物品都将在此处显示获取途径，按钮由中间展开。</t>
  </si>
  <si>
    <t>3、奖励展示描述：显示可获得物品，文本内容将根据不同宝箱类型作出区分。</t>
  </si>
  <si>
    <t>4、奖励展示：展示宝箱内配置的所有奖励。</t>
  </si>
  <si>
    <t>1、消耗品类型：显示对应消耗品类型。</t>
  </si>
  <si>
    <t>药剂tips</t>
  </si>
  <si>
    <t>2、物品描述：将在该处显示对应物品描述。</t>
  </si>
  <si>
    <t>货币tips</t>
  </si>
  <si>
    <t>说明tips</t>
  </si>
  <si>
    <t>独立弹窗tips</t>
  </si>
  <si>
    <t>副本左侧信息界面tips</t>
  </si>
  <si>
    <t>副本胜利/失败tips</t>
  </si>
  <si>
    <t>快捷使用小窗口tips</t>
  </si>
  <si>
    <t>死亡复活tips</t>
  </si>
  <si>
    <t>快捷获取tips</t>
  </si>
  <si>
    <t>三种颜色通用按钮tips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</si>
</sst>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20"/>
      <color theme="0"/>
      <name val="微软雅黑"/>
      <charset val="134"/>
    </font>
    <font>
      <b/>
      <sz val="16"/>
      <color theme="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1" fillId="34" borderId="0" applyNumberFormat="0" applyBorder="0" applyAlignment="0" applyProtection="0">
      <alignment vertical="center"/>
    </xf>
    <xf numFmtId="0" fontId="20" fillId="35" borderId="0" applyNumberFormat="0" applyBorder="0" applyAlignment="0" applyProtection="0">
      <alignment vertical="center"/>
    </xf>
  </cellStyleXfs>
  <cellXfs count="15">
    <xf numFmtId="0" fontId="0" fillId="0" borderId="0" xfId="0">
      <alignment vertical="center"/>
    </xf>
    <xf numFmtId="0" fontId="1" fillId="2" borderId="0" xfId="0" applyFont="1" applyFill="1" applyAlignment="1">
      <alignment horizontal="left" vertical="center"/>
    </xf>
    <xf numFmtId="0" fontId="0" fillId="3" borderId="0" xfId="0" applyFill="1">
      <alignment vertical="center"/>
    </xf>
    <xf numFmtId="0" fontId="0" fillId="2" borderId="0" xfId="0" applyFill="1">
      <alignment vertical="center"/>
    </xf>
    <xf numFmtId="0" fontId="2" fillId="2" borderId="0" xfId="0" applyFont="1" applyFill="1" applyAlignment="1">
      <alignment horizontal="left" vertical="center"/>
    </xf>
    <xf numFmtId="0" fontId="0" fillId="3" borderId="0" xfId="0" applyFill="1" applyAlignment="1">
      <alignment vertical="center"/>
    </xf>
    <xf numFmtId="0" fontId="0" fillId="3" borderId="0" xfId="0" applyFill="1" applyAlignment="1">
      <alignment horizontal="center" vertical="center"/>
    </xf>
    <xf numFmtId="0" fontId="0" fillId="3" borderId="0" xfId="0" applyFont="1" applyFill="1">
      <alignment vertical="center"/>
    </xf>
    <xf numFmtId="0" fontId="0" fillId="0" borderId="0" xfId="0" applyFont="1" applyFill="1" applyAlignment="1">
      <alignment horizontal="left" vertical="center"/>
    </xf>
    <xf numFmtId="0" fontId="0" fillId="0" borderId="0" xfId="0" applyFont="1" applyFill="1" applyAlignment="1">
      <alignment vertical="center"/>
    </xf>
    <xf numFmtId="0" fontId="0" fillId="4" borderId="1" xfId="0" applyFont="1" applyFill="1" applyBorder="1" applyAlignment="1">
      <alignment horizontal="left" vertical="center"/>
    </xf>
    <xf numFmtId="0" fontId="0" fillId="4" borderId="1" xfId="0" applyFont="1" applyFill="1" applyBorder="1" applyAlignment="1">
      <alignment vertical="center"/>
    </xf>
    <xf numFmtId="14" fontId="0" fillId="0" borderId="1" xfId="0" applyNumberFormat="1" applyFont="1" applyFill="1" applyBorder="1" applyAlignment="1">
      <alignment horizontal="left" vertical="center"/>
    </xf>
    <xf numFmtId="0" fontId="0" fillId="0" borderId="1" xfId="0" applyFont="1" applyFill="1" applyBorder="1" applyAlignment="1">
      <alignment vertical="center"/>
    </xf>
    <xf numFmtId="0" fontId="0" fillId="0" borderId="1" xfId="0" applyFont="1" applyFill="1" applyBorder="1" applyAlignment="1">
      <alignment horizontal="lef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cellimages.xml.rels><?xml version="1.0" encoding="UTF-8" standalone="yes"?>
<Relationships xmlns="http://schemas.openxmlformats.org/package/2006/relationships"><Relationship Id="rId9" Type="http://schemas.openxmlformats.org/officeDocument/2006/relationships/image" Target="media/image22.png"/><Relationship Id="rId8" Type="http://schemas.openxmlformats.org/officeDocument/2006/relationships/image" Target="media/image21.png"/><Relationship Id="rId7" Type="http://schemas.openxmlformats.org/officeDocument/2006/relationships/image" Target="media/image20.png"/><Relationship Id="rId6" Type="http://schemas.openxmlformats.org/officeDocument/2006/relationships/image" Target="media/image19.png"/><Relationship Id="rId5" Type="http://schemas.openxmlformats.org/officeDocument/2006/relationships/image" Target="media/image18.png"/><Relationship Id="rId4" Type="http://schemas.openxmlformats.org/officeDocument/2006/relationships/image" Target="media/image17.png"/><Relationship Id="rId3" Type="http://schemas.openxmlformats.org/officeDocument/2006/relationships/image" Target="media/image16.png"/><Relationship Id="rId2" Type="http://schemas.openxmlformats.org/officeDocument/2006/relationships/image" Target="media/image15.png"/><Relationship Id="rId11" Type="http://schemas.openxmlformats.org/officeDocument/2006/relationships/image" Target="media/image24.png"/><Relationship Id="rId10" Type="http://schemas.openxmlformats.org/officeDocument/2006/relationships/image" Target="media/image23.png"/><Relationship Id="rId1" Type="http://schemas.openxmlformats.org/officeDocument/2006/relationships/image" Target="media/image14.png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www.wps.cn/officeDocument/2020/cellImage" Target="cellimag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image" Target="../media/image9.png"/><Relationship Id="rId8" Type="http://schemas.openxmlformats.org/officeDocument/2006/relationships/image" Target="../media/image8.png"/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3" Type="http://schemas.openxmlformats.org/officeDocument/2006/relationships/image" Target="../media/image13.png"/><Relationship Id="rId12" Type="http://schemas.openxmlformats.org/officeDocument/2006/relationships/image" Target="../media/image12.png"/><Relationship Id="rId11" Type="http://schemas.openxmlformats.org/officeDocument/2006/relationships/image" Target="../media/image11.png"/><Relationship Id="rId10" Type="http://schemas.openxmlformats.org/officeDocument/2006/relationships/image" Target="../media/image10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</xdr:col>
      <xdr:colOff>353060</xdr:colOff>
      <xdr:row>22</xdr:row>
      <xdr:rowOff>284480</xdr:rowOff>
    </xdr:from>
    <xdr:to>
      <xdr:col>11</xdr:col>
      <xdr:colOff>353060</xdr:colOff>
      <xdr:row>39</xdr:row>
      <xdr:rowOff>189230</xdr:rowOff>
    </xdr:to>
    <xdr:pic>
      <xdr:nvPicPr>
        <xdr:cNvPr id="4" name="图片 3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1031875" y="6551930"/>
          <a:ext cx="7124700" cy="4762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532765</xdr:colOff>
      <xdr:row>4</xdr:row>
      <xdr:rowOff>139065</xdr:rowOff>
    </xdr:from>
    <xdr:to>
      <xdr:col>7</xdr:col>
      <xdr:colOff>66040</xdr:colOff>
      <xdr:row>20</xdr:row>
      <xdr:rowOff>177165</xdr:rowOff>
    </xdr:to>
    <xdr:pic>
      <xdr:nvPicPr>
        <xdr:cNvPr id="20" name="图片 19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1211580" y="1263015"/>
          <a:ext cx="3914775" cy="46101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6</xdr:col>
      <xdr:colOff>132080</xdr:colOff>
      <xdr:row>4</xdr:row>
      <xdr:rowOff>57150</xdr:rowOff>
    </xdr:from>
    <xdr:to>
      <xdr:col>6</xdr:col>
      <xdr:colOff>460375</xdr:colOff>
      <xdr:row>5</xdr:row>
      <xdr:rowOff>101600</xdr:rowOff>
    </xdr:to>
    <xdr:sp>
      <xdr:nvSpPr>
        <xdr:cNvPr id="29" name="线形标注 1(无边框) 28"/>
        <xdr:cNvSpPr/>
      </xdr:nvSpPr>
      <xdr:spPr>
        <a:xfrm>
          <a:off x="4239895" y="1181100"/>
          <a:ext cx="328295" cy="330200"/>
        </a:xfrm>
        <a:prstGeom prst="callout1">
          <a:avLst>
            <a:gd name="adj1" fmla="val 49769"/>
            <a:gd name="adj2" fmla="val -834"/>
            <a:gd name="adj3" fmla="val 93194"/>
            <a:gd name="adj4" fmla="val -96620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6</xdr:col>
      <xdr:colOff>64770</xdr:colOff>
      <xdr:row>18</xdr:row>
      <xdr:rowOff>12700</xdr:rowOff>
    </xdr:from>
    <xdr:to>
      <xdr:col>7</xdr:col>
      <xdr:colOff>91440</xdr:colOff>
      <xdr:row>21</xdr:row>
      <xdr:rowOff>16510</xdr:rowOff>
    </xdr:to>
    <xdr:sp>
      <xdr:nvSpPr>
        <xdr:cNvPr id="39" name="矩形 38"/>
        <xdr:cNvSpPr/>
      </xdr:nvSpPr>
      <xdr:spPr>
        <a:xfrm>
          <a:off x="4172585" y="5137150"/>
          <a:ext cx="979170" cy="86106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471170</xdr:colOff>
      <xdr:row>8</xdr:row>
      <xdr:rowOff>210185</xdr:rowOff>
    </xdr:from>
    <xdr:to>
      <xdr:col>6</xdr:col>
      <xdr:colOff>792480</xdr:colOff>
      <xdr:row>9</xdr:row>
      <xdr:rowOff>255270</xdr:rowOff>
    </xdr:to>
    <xdr:sp>
      <xdr:nvSpPr>
        <xdr:cNvPr id="47" name="线形标注 1(无边框) 46"/>
        <xdr:cNvSpPr/>
      </xdr:nvSpPr>
      <xdr:spPr>
        <a:xfrm>
          <a:off x="4578985" y="2477135"/>
          <a:ext cx="321310" cy="330835"/>
        </a:xfrm>
        <a:prstGeom prst="callout1">
          <a:avLst>
            <a:gd name="adj1" fmla="val 49769"/>
            <a:gd name="adj2" fmla="val -834"/>
            <a:gd name="adj3" fmla="val 49811"/>
            <a:gd name="adj4" fmla="val -252371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516255</xdr:colOff>
      <xdr:row>7</xdr:row>
      <xdr:rowOff>283845</xdr:rowOff>
    </xdr:from>
    <xdr:to>
      <xdr:col>5</xdr:col>
      <xdr:colOff>665480</xdr:colOff>
      <xdr:row>19</xdr:row>
      <xdr:rowOff>272415</xdr:rowOff>
    </xdr:to>
    <xdr:sp>
      <xdr:nvSpPr>
        <xdr:cNvPr id="6" name="矩形 5"/>
        <xdr:cNvSpPr/>
      </xdr:nvSpPr>
      <xdr:spPr>
        <a:xfrm>
          <a:off x="1195070" y="2265045"/>
          <a:ext cx="2892425" cy="341757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574675</xdr:colOff>
      <xdr:row>4</xdr:row>
      <xdr:rowOff>212090</xdr:rowOff>
    </xdr:from>
    <xdr:to>
      <xdr:col>6</xdr:col>
      <xdr:colOff>55880</xdr:colOff>
      <xdr:row>7</xdr:row>
      <xdr:rowOff>173355</xdr:rowOff>
    </xdr:to>
    <xdr:sp>
      <xdr:nvSpPr>
        <xdr:cNvPr id="7" name="矩形 6"/>
        <xdr:cNvSpPr/>
      </xdr:nvSpPr>
      <xdr:spPr>
        <a:xfrm>
          <a:off x="1253490" y="1336040"/>
          <a:ext cx="2910205" cy="8185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7</xdr:col>
      <xdr:colOff>190500</xdr:colOff>
      <xdr:row>20</xdr:row>
      <xdr:rowOff>14605</xdr:rowOff>
    </xdr:from>
    <xdr:to>
      <xdr:col>7</xdr:col>
      <xdr:colOff>511810</xdr:colOff>
      <xdr:row>21</xdr:row>
      <xdr:rowOff>59690</xdr:rowOff>
    </xdr:to>
    <xdr:sp>
      <xdr:nvSpPr>
        <xdr:cNvPr id="9" name="线形标注 1(无边框) 8"/>
        <xdr:cNvSpPr/>
      </xdr:nvSpPr>
      <xdr:spPr>
        <a:xfrm>
          <a:off x="5250815" y="5710555"/>
          <a:ext cx="321310" cy="330835"/>
        </a:xfrm>
        <a:prstGeom prst="callout1">
          <a:avLst>
            <a:gd name="adj1" fmla="val 49769"/>
            <a:gd name="adj2" fmla="val -834"/>
            <a:gd name="adj3" fmla="val 36415"/>
            <a:gd name="adj4" fmla="val -7430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4</xdr:col>
      <xdr:colOff>269875</xdr:colOff>
      <xdr:row>58</xdr:row>
      <xdr:rowOff>49530</xdr:rowOff>
    </xdr:from>
    <xdr:to>
      <xdr:col>4</xdr:col>
      <xdr:colOff>591185</xdr:colOff>
      <xdr:row>59</xdr:row>
      <xdr:rowOff>170815</xdr:rowOff>
    </xdr:to>
    <xdr:sp>
      <xdr:nvSpPr>
        <xdr:cNvPr id="12" name="线形标注 1(无边框) 11"/>
        <xdr:cNvSpPr/>
      </xdr:nvSpPr>
      <xdr:spPr>
        <a:xfrm>
          <a:off x="3006090" y="16603980"/>
          <a:ext cx="321310" cy="407035"/>
        </a:xfrm>
        <a:prstGeom prst="callout1">
          <a:avLst>
            <a:gd name="adj1" fmla="val 49769"/>
            <a:gd name="adj2" fmla="val -834"/>
            <a:gd name="adj3" fmla="val 46502"/>
            <a:gd name="adj4" fmla="val -8147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462280</xdr:colOff>
      <xdr:row>45</xdr:row>
      <xdr:rowOff>162560</xdr:rowOff>
    </xdr:from>
    <xdr:to>
      <xdr:col>4</xdr:col>
      <xdr:colOff>97155</xdr:colOff>
      <xdr:row>46</xdr:row>
      <xdr:rowOff>266700</xdr:rowOff>
    </xdr:to>
    <xdr:sp>
      <xdr:nvSpPr>
        <xdr:cNvPr id="14" name="线形标注 1(无边框) 13"/>
        <xdr:cNvSpPr/>
      </xdr:nvSpPr>
      <xdr:spPr>
        <a:xfrm>
          <a:off x="2512695" y="13002260"/>
          <a:ext cx="320675" cy="389890"/>
        </a:xfrm>
        <a:prstGeom prst="callout1">
          <a:avLst>
            <a:gd name="adj1" fmla="val 49769"/>
            <a:gd name="adj2" fmla="val -834"/>
            <a:gd name="adj3" fmla="val 59622"/>
            <a:gd name="adj4" fmla="val -17290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</xdr:col>
      <xdr:colOff>632460</xdr:colOff>
      <xdr:row>45</xdr:row>
      <xdr:rowOff>273050</xdr:rowOff>
    </xdr:from>
    <xdr:to>
      <xdr:col>2</xdr:col>
      <xdr:colOff>579120</xdr:colOff>
      <xdr:row>46</xdr:row>
      <xdr:rowOff>245110</xdr:rowOff>
    </xdr:to>
    <xdr:sp>
      <xdr:nvSpPr>
        <xdr:cNvPr id="13" name="矩形 12"/>
        <xdr:cNvSpPr/>
      </xdr:nvSpPr>
      <xdr:spPr>
        <a:xfrm>
          <a:off x="1311275" y="13112750"/>
          <a:ext cx="632460" cy="2578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14</xdr:col>
      <xdr:colOff>414020</xdr:colOff>
      <xdr:row>47</xdr:row>
      <xdr:rowOff>172720</xdr:rowOff>
    </xdr:from>
    <xdr:to>
      <xdr:col>15</xdr:col>
      <xdr:colOff>49530</xdr:colOff>
      <xdr:row>48</xdr:row>
      <xdr:rowOff>163195</xdr:rowOff>
    </xdr:to>
    <xdr:sp>
      <xdr:nvSpPr>
        <xdr:cNvPr id="15" name="线形标注 1(无边框) 14"/>
        <xdr:cNvSpPr/>
      </xdr:nvSpPr>
      <xdr:spPr>
        <a:xfrm>
          <a:off x="10274935" y="13583920"/>
          <a:ext cx="321310" cy="276225"/>
        </a:xfrm>
        <a:prstGeom prst="callout1">
          <a:avLst>
            <a:gd name="adj1" fmla="val 49769"/>
            <a:gd name="adj2" fmla="val -834"/>
            <a:gd name="adj3" fmla="val 46502"/>
            <a:gd name="adj4" fmla="val -8147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3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0</xdr:col>
      <xdr:colOff>580390</xdr:colOff>
      <xdr:row>57</xdr:row>
      <xdr:rowOff>260985</xdr:rowOff>
    </xdr:from>
    <xdr:to>
      <xdr:col>4</xdr:col>
      <xdr:colOff>22860</xdr:colOff>
      <xdr:row>59</xdr:row>
      <xdr:rowOff>152400</xdr:rowOff>
    </xdr:to>
    <xdr:sp>
      <xdr:nvSpPr>
        <xdr:cNvPr id="16" name="矩形 15"/>
        <xdr:cNvSpPr/>
      </xdr:nvSpPr>
      <xdr:spPr>
        <a:xfrm>
          <a:off x="580390" y="16529685"/>
          <a:ext cx="2178685" cy="46291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6</xdr:col>
      <xdr:colOff>303530</xdr:colOff>
      <xdr:row>48</xdr:row>
      <xdr:rowOff>95250</xdr:rowOff>
    </xdr:from>
    <xdr:to>
      <xdr:col>9</xdr:col>
      <xdr:colOff>286385</xdr:colOff>
      <xdr:row>57</xdr:row>
      <xdr:rowOff>21590</xdr:rowOff>
    </xdr:to>
    <xdr:sp>
      <xdr:nvSpPr>
        <xdr:cNvPr id="19" name="矩形 18"/>
        <xdr:cNvSpPr/>
      </xdr:nvSpPr>
      <xdr:spPr>
        <a:xfrm>
          <a:off x="4411345" y="13792200"/>
          <a:ext cx="2306955" cy="249809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9</xdr:col>
      <xdr:colOff>565785</xdr:colOff>
      <xdr:row>48</xdr:row>
      <xdr:rowOff>271145</xdr:rowOff>
    </xdr:from>
    <xdr:to>
      <xdr:col>10</xdr:col>
      <xdr:colOff>200660</xdr:colOff>
      <xdr:row>50</xdr:row>
      <xdr:rowOff>87630</xdr:rowOff>
    </xdr:to>
    <xdr:sp>
      <xdr:nvSpPr>
        <xdr:cNvPr id="21" name="线形标注 1(无边框) 20"/>
        <xdr:cNvSpPr/>
      </xdr:nvSpPr>
      <xdr:spPr>
        <a:xfrm>
          <a:off x="6997700" y="13968095"/>
          <a:ext cx="320675" cy="387985"/>
        </a:xfrm>
        <a:prstGeom prst="callout1">
          <a:avLst>
            <a:gd name="adj1" fmla="val 49769"/>
            <a:gd name="adj2" fmla="val -834"/>
            <a:gd name="adj3" fmla="val 46502"/>
            <a:gd name="adj4" fmla="val -8147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4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11</xdr:col>
      <xdr:colOff>527050</xdr:colOff>
      <xdr:row>47</xdr:row>
      <xdr:rowOff>147955</xdr:rowOff>
    </xdr:from>
    <xdr:to>
      <xdr:col>14</xdr:col>
      <xdr:colOff>53340</xdr:colOff>
      <xdr:row>48</xdr:row>
      <xdr:rowOff>163830</xdr:rowOff>
    </xdr:to>
    <xdr:sp>
      <xdr:nvSpPr>
        <xdr:cNvPr id="3" name="矩形 2"/>
        <xdr:cNvSpPr/>
      </xdr:nvSpPr>
      <xdr:spPr>
        <a:xfrm>
          <a:off x="8330565" y="13559155"/>
          <a:ext cx="1583690" cy="30162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1</xdr:col>
      <xdr:colOff>245110</xdr:colOff>
      <xdr:row>66</xdr:row>
      <xdr:rowOff>38735</xdr:rowOff>
    </xdr:from>
    <xdr:to>
      <xdr:col>2</xdr:col>
      <xdr:colOff>255270</xdr:colOff>
      <xdr:row>67</xdr:row>
      <xdr:rowOff>87630</xdr:rowOff>
    </xdr:to>
    <xdr:sp>
      <xdr:nvSpPr>
        <xdr:cNvPr id="24" name="矩形 23"/>
        <xdr:cNvSpPr/>
      </xdr:nvSpPr>
      <xdr:spPr>
        <a:xfrm>
          <a:off x="923925" y="18879185"/>
          <a:ext cx="695960" cy="33464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0</xdr:col>
      <xdr:colOff>169545</xdr:colOff>
      <xdr:row>67</xdr:row>
      <xdr:rowOff>186690</xdr:rowOff>
    </xdr:from>
    <xdr:to>
      <xdr:col>3</xdr:col>
      <xdr:colOff>20320</xdr:colOff>
      <xdr:row>70</xdr:row>
      <xdr:rowOff>234950</xdr:rowOff>
    </xdr:to>
    <xdr:sp>
      <xdr:nvSpPr>
        <xdr:cNvPr id="25" name="矩形 24"/>
        <xdr:cNvSpPr/>
      </xdr:nvSpPr>
      <xdr:spPr>
        <a:xfrm>
          <a:off x="169545" y="19312890"/>
          <a:ext cx="1901190" cy="905510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  <xdr:twoCellAnchor>
    <xdr:from>
      <xdr:col>3</xdr:col>
      <xdr:colOff>135255</xdr:colOff>
      <xdr:row>65</xdr:row>
      <xdr:rowOff>139065</xdr:rowOff>
    </xdr:from>
    <xdr:to>
      <xdr:col>3</xdr:col>
      <xdr:colOff>455930</xdr:colOff>
      <xdr:row>66</xdr:row>
      <xdr:rowOff>142875</xdr:rowOff>
    </xdr:to>
    <xdr:sp>
      <xdr:nvSpPr>
        <xdr:cNvPr id="33" name="线形标注 1(无边框) 32"/>
        <xdr:cNvSpPr/>
      </xdr:nvSpPr>
      <xdr:spPr>
        <a:xfrm>
          <a:off x="2185670" y="18693765"/>
          <a:ext cx="320675" cy="289560"/>
        </a:xfrm>
        <a:prstGeom prst="callout1">
          <a:avLst>
            <a:gd name="adj1" fmla="val 49769"/>
            <a:gd name="adj2" fmla="val -834"/>
            <a:gd name="adj3" fmla="val 59622"/>
            <a:gd name="adj4" fmla="val -172908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1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>
    <xdr:from>
      <xdr:col>3</xdr:col>
      <xdr:colOff>268605</xdr:colOff>
      <xdr:row>68</xdr:row>
      <xdr:rowOff>17145</xdr:rowOff>
    </xdr:from>
    <xdr:to>
      <xdr:col>3</xdr:col>
      <xdr:colOff>589915</xdr:colOff>
      <xdr:row>69</xdr:row>
      <xdr:rowOff>60325</xdr:rowOff>
    </xdr:to>
    <xdr:sp>
      <xdr:nvSpPr>
        <xdr:cNvPr id="34" name="线形标注 1(无边框) 33"/>
        <xdr:cNvSpPr/>
      </xdr:nvSpPr>
      <xdr:spPr>
        <a:xfrm>
          <a:off x="2319020" y="19429095"/>
          <a:ext cx="321310" cy="328930"/>
        </a:xfrm>
        <a:prstGeom prst="callout1">
          <a:avLst>
            <a:gd name="adj1" fmla="val 49769"/>
            <a:gd name="adj2" fmla="val -834"/>
            <a:gd name="adj3" fmla="val 46502"/>
            <a:gd name="adj4" fmla="val -81474"/>
          </a:avLst>
        </a:prstGeom>
        <a:solidFill>
          <a:srgbClr val="C00000"/>
        </a:solidFill>
        <a:ln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r>
            <a:rPr lang="en-US" altLang="zh-CN" sz="1200">
              <a:latin typeface="微软雅黑" panose="020B0503020204020204" charset="-122"/>
              <a:ea typeface="微软雅黑" panose="020B0503020204020204" charset="-122"/>
            </a:rPr>
            <a:t> 2</a:t>
          </a:r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  <a:p>
          <a:pPr algn="l"/>
          <a:endParaRPr lang="en-US" altLang="zh-CN" sz="1200">
            <a:latin typeface="微软雅黑" panose="020B0503020204020204" charset="-122"/>
            <a:ea typeface="微软雅黑" panose="020B0503020204020204" charset="-122"/>
          </a:endParaRPr>
        </a:p>
      </xdr:txBody>
    </xdr:sp>
    <xdr:clientData/>
  </xdr:twoCellAnchor>
  <xdr:twoCellAnchor editAs="oneCell">
    <xdr:from>
      <xdr:col>1</xdr:col>
      <xdr:colOff>304800</xdr:colOff>
      <xdr:row>125</xdr:row>
      <xdr:rowOff>101600</xdr:rowOff>
    </xdr:from>
    <xdr:to>
      <xdr:col>5</xdr:col>
      <xdr:colOff>304800</xdr:colOff>
      <xdr:row>147</xdr:row>
      <xdr:rowOff>168275</xdr:rowOff>
    </xdr:to>
    <xdr:pic>
      <xdr:nvPicPr>
        <xdr:cNvPr id="2" name="图片 1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983615" y="30772100"/>
          <a:ext cx="2743200" cy="38385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321945</xdr:colOff>
      <xdr:row>149</xdr:row>
      <xdr:rowOff>136525</xdr:rowOff>
    </xdr:from>
    <xdr:to>
      <xdr:col>6</xdr:col>
      <xdr:colOff>87630</xdr:colOff>
      <xdr:row>160</xdr:row>
      <xdr:rowOff>109220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000760" y="35036125"/>
          <a:ext cx="3194685" cy="185864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200660</xdr:colOff>
      <xdr:row>164</xdr:row>
      <xdr:rowOff>85090</xdr:rowOff>
    </xdr:from>
    <xdr:to>
      <xdr:col>5</xdr:col>
      <xdr:colOff>133985</xdr:colOff>
      <xdr:row>187</xdr:row>
      <xdr:rowOff>94615</xdr:rowOff>
    </xdr:to>
    <xdr:pic>
      <xdr:nvPicPr>
        <xdr:cNvPr id="8" name="图片 7"/>
        <xdr:cNvPicPr>
          <a:picLocks noChangeAspect="1"/>
        </xdr:cNvPicPr>
      </xdr:nvPicPr>
      <xdr:blipFill>
        <a:blip r:embed="rId5"/>
        <a:stretch>
          <a:fillRect/>
        </a:stretch>
      </xdr:blipFill>
      <xdr:spPr>
        <a:xfrm>
          <a:off x="879475" y="37670740"/>
          <a:ext cx="2676525" cy="39528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149225</xdr:colOff>
      <xdr:row>191</xdr:row>
      <xdr:rowOff>154305</xdr:rowOff>
    </xdr:from>
    <xdr:to>
      <xdr:col>9</xdr:col>
      <xdr:colOff>434340</xdr:colOff>
      <xdr:row>211</xdr:row>
      <xdr:rowOff>123190</xdr:rowOff>
    </xdr:to>
    <xdr:pic>
      <xdr:nvPicPr>
        <xdr:cNvPr id="10" name="图片 9"/>
        <xdr:cNvPicPr>
          <a:picLocks noChangeAspect="1"/>
        </xdr:cNvPicPr>
      </xdr:nvPicPr>
      <xdr:blipFill>
        <a:blip r:embed="rId6"/>
        <a:stretch>
          <a:fillRect/>
        </a:stretch>
      </xdr:blipFill>
      <xdr:spPr>
        <a:xfrm>
          <a:off x="828040" y="42483405"/>
          <a:ext cx="6038215" cy="339788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131445</xdr:colOff>
      <xdr:row>212</xdr:row>
      <xdr:rowOff>66675</xdr:rowOff>
    </xdr:from>
    <xdr:to>
      <xdr:col>9</xdr:col>
      <xdr:colOff>424815</xdr:colOff>
      <xdr:row>232</xdr:row>
      <xdr:rowOff>34925</xdr:rowOff>
    </xdr:to>
    <xdr:pic>
      <xdr:nvPicPr>
        <xdr:cNvPr id="17" name="图片 16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810260" y="45996225"/>
          <a:ext cx="6046470" cy="33972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158750</xdr:colOff>
      <xdr:row>235</xdr:row>
      <xdr:rowOff>101600</xdr:rowOff>
    </xdr:from>
    <xdr:to>
      <xdr:col>3</xdr:col>
      <xdr:colOff>358775</xdr:colOff>
      <xdr:row>246</xdr:row>
      <xdr:rowOff>82550</xdr:rowOff>
    </xdr:to>
    <xdr:pic>
      <xdr:nvPicPr>
        <xdr:cNvPr id="26" name="图片 25"/>
        <xdr:cNvPicPr>
          <a:picLocks noChangeAspect="1"/>
        </xdr:cNvPicPr>
      </xdr:nvPicPr>
      <xdr:blipFill>
        <a:blip r:embed="rId8"/>
        <a:stretch>
          <a:fillRect/>
        </a:stretch>
      </xdr:blipFill>
      <xdr:spPr>
        <a:xfrm>
          <a:off x="837565" y="50088800"/>
          <a:ext cx="1571625" cy="18669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249</xdr:row>
      <xdr:rowOff>15875</xdr:rowOff>
    </xdr:from>
    <xdr:to>
      <xdr:col>6</xdr:col>
      <xdr:colOff>866775</xdr:colOff>
      <xdr:row>265</xdr:row>
      <xdr:rowOff>130175</xdr:rowOff>
    </xdr:to>
    <xdr:pic>
      <xdr:nvPicPr>
        <xdr:cNvPr id="27" name="图片 26"/>
        <xdr:cNvPicPr>
          <a:picLocks noChangeAspect="1"/>
        </xdr:cNvPicPr>
      </xdr:nvPicPr>
      <xdr:blipFill>
        <a:blip r:embed="rId9"/>
        <a:stretch>
          <a:fillRect/>
        </a:stretch>
      </xdr:blipFill>
      <xdr:spPr>
        <a:xfrm>
          <a:off x="793115" y="52517675"/>
          <a:ext cx="4181475" cy="2857500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114300</xdr:colOff>
      <xdr:row>269</xdr:row>
      <xdr:rowOff>84455</xdr:rowOff>
    </xdr:from>
    <xdr:to>
      <xdr:col>6</xdr:col>
      <xdr:colOff>9525</xdr:colOff>
      <xdr:row>286</xdr:row>
      <xdr:rowOff>132080</xdr:rowOff>
    </xdr:to>
    <xdr:pic>
      <xdr:nvPicPr>
        <xdr:cNvPr id="28" name="图片 27"/>
        <xdr:cNvPicPr>
          <a:picLocks noChangeAspect="1"/>
        </xdr:cNvPicPr>
      </xdr:nvPicPr>
      <xdr:blipFill>
        <a:blip r:embed="rId10"/>
        <a:stretch>
          <a:fillRect/>
        </a:stretch>
      </xdr:blipFill>
      <xdr:spPr>
        <a:xfrm>
          <a:off x="793115" y="56129555"/>
          <a:ext cx="3324225" cy="296227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20955</xdr:colOff>
      <xdr:row>290</xdr:row>
      <xdr:rowOff>67310</xdr:rowOff>
    </xdr:from>
    <xdr:to>
      <xdr:col>2</xdr:col>
      <xdr:colOff>649605</xdr:colOff>
      <xdr:row>293</xdr:row>
      <xdr:rowOff>57785</xdr:rowOff>
    </xdr:to>
    <xdr:pic>
      <xdr:nvPicPr>
        <xdr:cNvPr id="30" name="图片 29"/>
        <xdr:cNvPicPr>
          <a:picLocks noChangeAspect="1"/>
        </xdr:cNvPicPr>
      </xdr:nvPicPr>
      <xdr:blipFill>
        <a:blip r:embed="rId11"/>
        <a:stretch>
          <a:fillRect/>
        </a:stretch>
      </xdr:blipFill>
      <xdr:spPr>
        <a:xfrm>
          <a:off x="699770" y="59827160"/>
          <a:ext cx="1314450" cy="5048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37465</xdr:colOff>
      <xdr:row>293</xdr:row>
      <xdr:rowOff>83820</xdr:rowOff>
    </xdr:from>
    <xdr:to>
      <xdr:col>2</xdr:col>
      <xdr:colOff>656590</xdr:colOff>
      <xdr:row>296</xdr:row>
      <xdr:rowOff>112395</xdr:rowOff>
    </xdr:to>
    <xdr:pic>
      <xdr:nvPicPr>
        <xdr:cNvPr id="31" name="图片 30"/>
        <xdr:cNvPicPr>
          <a:picLocks noChangeAspect="1"/>
        </xdr:cNvPicPr>
      </xdr:nvPicPr>
      <xdr:blipFill>
        <a:blip r:embed="rId12"/>
        <a:stretch>
          <a:fillRect/>
        </a:stretch>
      </xdr:blipFill>
      <xdr:spPr>
        <a:xfrm>
          <a:off x="716280" y="60358020"/>
          <a:ext cx="1304925" cy="5429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1</xdr:col>
      <xdr:colOff>90170</xdr:colOff>
      <xdr:row>296</xdr:row>
      <xdr:rowOff>101600</xdr:rowOff>
    </xdr:from>
    <xdr:to>
      <xdr:col>2</xdr:col>
      <xdr:colOff>614045</xdr:colOff>
      <xdr:row>300</xdr:row>
      <xdr:rowOff>6350</xdr:rowOff>
    </xdr:to>
    <xdr:pic>
      <xdr:nvPicPr>
        <xdr:cNvPr id="32" name="图片 31"/>
        <xdr:cNvPicPr>
          <a:picLocks noChangeAspect="1"/>
        </xdr:cNvPicPr>
      </xdr:nvPicPr>
      <xdr:blipFill>
        <a:blip r:embed="rId13"/>
        <a:stretch>
          <a:fillRect/>
        </a:stretch>
      </xdr:blipFill>
      <xdr:spPr>
        <a:xfrm>
          <a:off x="768985" y="60890150"/>
          <a:ext cx="1209675" cy="590550"/>
        </a:xfrm>
        <a:prstGeom prst="rect">
          <a:avLst/>
        </a:prstGeom>
        <a:noFill/>
        <a:ln w="9525">
          <a:noFill/>
        </a:ln>
      </xdr:spPr>
    </xdr:pic>
    <xdr:clientData/>
  </xdr:twoCellAnchor>
  <xdr:twoCellAnchor>
    <xdr:from>
      <xdr:col>1</xdr:col>
      <xdr:colOff>323850</xdr:colOff>
      <xdr:row>22</xdr:row>
      <xdr:rowOff>214630</xdr:rowOff>
    </xdr:from>
    <xdr:to>
      <xdr:col>11</xdr:col>
      <xdr:colOff>506730</xdr:colOff>
      <xdr:row>39</xdr:row>
      <xdr:rowOff>280035</xdr:rowOff>
    </xdr:to>
    <xdr:sp>
      <xdr:nvSpPr>
        <xdr:cNvPr id="23" name="矩形 22"/>
        <xdr:cNvSpPr/>
      </xdr:nvSpPr>
      <xdr:spPr>
        <a:xfrm>
          <a:off x="1002665" y="6482080"/>
          <a:ext cx="7307580" cy="4923155"/>
        </a:xfrm>
        <a:prstGeom prst="rect">
          <a:avLst/>
        </a:prstGeom>
        <a:noFill/>
        <a:ln w="38100">
          <a:solidFill>
            <a:srgbClr val="C00000"/>
          </a:solidFill>
        </a:ln>
        <a:extLst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</a:extLst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wrap="square" rtlCol="0" anchor="t"/>
        <a:lstStyle>
          <a:defPPr>
            <a:defRPr lang="zh-CN">
              <a:solidFill>
                <a:schemeClr val="lt1"/>
              </a:solidFill>
            </a:defRPr>
          </a:defPPr>
          <a:lvl1pPr marL="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0" hangingPunct="1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l"/>
          <a:endParaRPr lang="zh-CN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2:D25"/>
  <sheetViews>
    <sheetView workbookViewId="0">
      <selection activeCell="H12" sqref="H12:I12"/>
    </sheetView>
  </sheetViews>
  <sheetFormatPr defaultColWidth="9" defaultRowHeight="13.5" outlineLevelCol="3"/>
  <cols>
    <col min="2" max="2" width="11.5" customWidth="1"/>
    <col min="3" max="3" width="25.375" customWidth="1"/>
    <col min="4" max="4" width="7" customWidth="1"/>
  </cols>
  <sheetData>
    <row r="2" spans="2:4">
      <c r="B2" s="8" t="s">
        <v>0</v>
      </c>
      <c r="C2" s="9" t="s">
        <v>1</v>
      </c>
      <c r="D2" s="9"/>
    </row>
    <row r="3" spans="2:4">
      <c r="B3" s="10" t="s">
        <v>2</v>
      </c>
      <c r="C3" s="11" t="s">
        <v>3</v>
      </c>
      <c r="D3" s="11" t="s">
        <v>4</v>
      </c>
    </row>
    <row r="4" spans="2:4">
      <c r="B4" s="12">
        <v>45448</v>
      </c>
      <c r="C4" s="13" t="s">
        <v>5</v>
      </c>
      <c r="D4" s="13" t="s">
        <v>6</v>
      </c>
    </row>
    <row r="5" spans="2:4">
      <c r="B5" s="12"/>
      <c r="C5" s="13"/>
      <c r="D5" s="13"/>
    </row>
    <row r="6" spans="2:4">
      <c r="B6" s="14"/>
      <c r="C6" s="13"/>
      <c r="D6" s="13"/>
    </row>
    <row r="7" spans="2:4">
      <c r="B7" s="14"/>
      <c r="C7" s="13"/>
      <c r="D7" s="13"/>
    </row>
    <row r="8" spans="2:4">
      <c r="B8" s="14"/>
      <c r="C8" s="13"/>
      <c r="D8" s="13"/>
    </row>
    <row r="9" spans="2:4">
      <c r="B9" s="14"/>
      <c r="C9" s="13"/>
      <c r="D9" s="13"/>
    </row>
    <row r="10" spans="2:4">
      <c r="B10" s="14"/>
      <c r="C10" s="13"/>
      <c r="D10" s="13"/>
    </row>
    <row r="11" spans="2:4">
      <c r="B11" s="14"/>
      <c r="C11" s="13"/>
      <c r="D11" s="13"/>
    </row>
    <row r="12" spans="2:4">
      <c r="B12" s="14"/>
      <c r="C12" s="13"/>
      <c r="D12" s="13"/>
    </row>
    <row r="13" spans="2:4">
      <c r="B13" s="14"/>
      <c r="C13" s="13"/>
      <c r="D13" s="13"/>
    </row>
    <row r="14" spans="2:4">
      <c r="B14" s="14"/>
      <c r="C14" s="13"/>
      <c r="D14" s="13"/>
    </row>
    <row r="15" spans="2:4">
      <c r="B15" s="14"/>
      <c r="C15" s="13"/>
      <c r="D15" s="13"/>
    </row>
    <row r="16" spans="2:4">
      <c r="B16" s="14"/>
      <c r="C16" s="13"/>
      <c r="D16" s="13"/>
    </row>
    <row r="17" spans="2:4">
      <c r="B17" s="14"/>
      <c r="C17" s="13"/>
      <c r="D17" s="13"/>
    </row>
    <row r="18" spans="2:4">
      <c r="B18" s="14"/>
      <c r="C18" s="13"/>
      <c r="D18" s="13"/>
    </row>
    <row r="19" spans="2:4">
      <c r="B19" s="14"/>
      <c r="C19" s="13"/>
      <c r="D19" s="13"/>
    </row>
    <row r="20" spans="2:4">
      <c r="B20" s="14"/>
      <c r="C20" s="13"/>
      <c r="D20" s="13"/>
    </row>
    <row r="21" spans="2:4">
      <c r="B21" s="14"/>
      <c r="C21" s="13"/>
      <c r="D21" s="13"/>
    </row>
    <row r="22" spans="2:4">
      <c r="B22" s="14"/>
      <c r="C22" s="13"/>
      <c r="D22" s="13"/>
    </row>
    <row r="23" spans="2:4">
      <c r="B23" s="14"/>
      <c r="C23" s="13"/>
      <c r="D23" s="13"/>
    </row>
    <row r="24" spans="2:4">
      <c r="B24" s="14"/>
      <c r="C24" s="13"/>
      <c r="D24" s="13"/>
    </row>
    <row r="25" spans="2:4">
      <c r="B25" s="14"/>
      <c r="C25" s="13"/>
      <c r="D25" s="13"/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9"/>
  <sheetViews>
    <sheetView workbookViewId="0">
      <selection activeCell="F12" sqref="F12"/>
    </sheetView>
  </sheetViews>
  <sheetFormatPr defaultColWidth="9" defaultRowHeight="13.5"/>
  <cols>
    <col min="1" max="16384" width="9" style="2"/>
  </cols>
  <sheetData>
    <row r="1" s="1" customFormat="1" ht="30" customHeight="1" spans="1:1">
      <c r="A1" s="1" t="s">
        <v>7</v>
      </c>
    </row>
    <row r="3" ht="22.5" spans="2:7">
      <c r="B3" s="4" t="s">
        <v>8</v>
      </c>
      <c r="C3" s="4"/>
      <c r="D3" s="4"/>
      <c r="E3" s="4"/>
      <c r="F3" s="4"/>
      <c r="G3" s="4"/>
    </row>
    <row r="5" spans="2:2">
      <c r="B5" s="2" t="s">
        <v>9</v>
      </c>
    </row>
    <row r="7" ht="22.5" spans="2:7">
      <c r="B7" s="4" t="s">
        <v>10</v>
      </c>
      <c r="C7" s="4"/>
      <c r="D7" s="4"/>
      <c r="E7" s="4"/>
      <c r="F7" s="4"/>
      <c r="G7" s="4"/>
    </row>
    <row r="9" spans="2:2">
      <c r="B9" s="2" t="s">
        <v>11</v>
      </c>
    </row>
  </sheetData>
  <mergeCells count="3">
    <mergeCell ref="A1:XFD1"/>
    <mergeCell ref="B3:G3"/>
    <mergeCell ref="B7:G7"/>
  </mergeCells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35"/>
  <sheetViews>
    <sheetView workbookViewId="0">
      <selection activeCell="L28" sqref="L28"/>
    </sheetView>
  </sheetViews>
  <sheetFormatPr defaultColWidth="9" defaultRowHeight="13.5"/>
  <cols>
    <col min="1" max="16384" width="9" style="2"/>
  </cols>
  <sheetData>
    <row r="1" s="1" customFormat="1" ht="30" customHeight="1" spans="1:1">
      <c r="A1" s="1" t="s">
        <v>12</v>
      </c>
    </row>
    <row r="4" ht="22.5" spans="2:7">
      <c r="B4" s="4" t="s">
        <v>13</v>
      </c>
      <c r="C4" s="4"/>
      <c r="D4" s="4"/>
      <c r="E4" s="4"/>
      <c r="F4" s="4"/>
      <c r="G4" s="4"/>
    </row>
    <row r="6" spans="2:2">
      <c r="B6" s="2" t="s">
        <v>14</v>
      </c>
    </row>
    <row r="9" ht="22.5" spans="2:7">
      <c r="B9" s="4" t="s">
        <v>15</v>
      </c>
      <c r="C9" s="4"/>
      <c r="D9" s="4"/>
      <c r="E9" s="4"/>
      <c r="F9" s="4"/>
      <c r="G9" s="4"/>
    </row>
    <row r="11" spans="2:2">
      <c r="B11" s="2" t="s">
        <v>16</v>
      </c>
    </row>
    <row r="12" spans="2:9">
      <c r="B12" s="6" t="str">
        <f>_xlfn.DISPIMG("ID_5000AFC8EDA848F6846839C9782CC01B",1)</f>
        <v>=DISPIMG("ID_5000AFC8EDA848F6846839C9782CC01B",1)</v>
      </c>
      <c r="C12" s="6"/>
      <c r="D12" s="6"/>
      <c r="E12" s="6"/>
      <c r="F12" s="6"/>
      <c r="G12" s="6"/>
      <c r="H12" s="6"/>
      <c r="I12" s="6"/>
    </row>
    <row r="13" spans="2:9">
      <c r="B13" s="6"/>
      <c r="C13" s="6"/>
      <c r="D13" s="6"/>
      <c r="E13" s="6"/>
      <c r="F13" s="6"/>
      <c r="G13" s="6"/>
      <c r="H13" s="6"/>
      <c r="I13" s="6"/>
    </row>
    <row r="14" spans="2:9">
      <c r="B14" s="6"/>
      <c r="C14" s="6"/>
      <c r="D14" s="6"/>
      <c r="E14" s="6"/>
      <c r="F14" s="6"/>
      <c r="G14" s="6"/>
      <c r="H14" s="6"/>
      <c r="I14" s="6"/>
    </row>
    <row r="15" spans="2:9">
      <c r="B15" s="6"/>
      <c r="C15" s="6"/>
      <c r="D15" s="6"/>
      <c r="E15" s="6"/>
      <c r="F15" s="6"/>
      <c r="G15" s="6"/>
      <c r="H15" s="6"/>
      <c r="I15" s="6"/>
    </row>
    <row r="16" spans="2:9">
      <c r="B16" s="6"/>
      <c r="C16" s="6"/>
      <c r="D16" s="6"/>
      <c r="E16" s="6"/>
      <c r="F16" s="6"/>
      <c r="G16" s="6"/>
      <c r="H16" s="6"/>
      <c r="I16" s="6"/>
    </row>
    <row r="17" spans="2:9">
      <c r="B17" s="6"/>
      <c r="C17" s="6"/>
      <c r="D17" s="6"/>
      <c r="E17" s="6"/>
      <c r="F17" s="6"/>
      <c r="G17" s="6"/>
      <c r="H17" s="6"/>
      <c r="I17" s="6"/>
    </row>
    <row r="18" spans="2:9">
      <c r="B18" s="6"/>
      <c r="C18" s="6"/>
      <c r="D18" s="6"/>
      <c r="E18" s="6"/>
      <c r="F18" s="6"/>
      <c r="G18" s="6"/>
      <c r="H18" s="6"/>
      <c r="I18" s="6"/>
    </row>
    <row r="19" spans="2:9">
      <c r="B19" s="6"/>
      <c r="C19" s="6"/>
      <c r="D19" s="6"/>
      <c r="E19" s="6"/>
      <c r="F19" s="6"/>
      <c r="G19" s="6"/>
      <c r="H19" s="6"/>
      <c r="I19" s="6"/>
    </row>
    <row r="20" spans="2:9">
      <c r="B20" s="6"/>
      <c r="C20" s="6"/>
      <c r="D20" s="6"/>
      <c r="E20" s="6"/>
      <c r="F20" s="6"/>
      <c r="G20" s="6"/>
      <c r="H20" s="6"/>
      <c r="I20" s="6"/>
    </row>
    <row r="21" spans="2:9">
      <c r="B21" s="6"/>
      <c r="C21" s="6"/>
      <c r="D21" s="6"/>
      <c r="E21" s="6"/>
      <c r="F21" s="6"/>
      <c r="G21" s="6"/>
      <c r="H21" s="6"/>
      <c r="I21" s="6"/>
    </row>
    <row r="22" spans="2:9">
      <c r="B22" s="6"/>
      <c r="C22" s="6"/>
      <c r="D22" s="6"/>
      <c r="E22" s="6"/>
      <c r="F22" s="6"/>
      <c r="G22" s="6"/>
      <c r="H22" s="6"/>
      <c r="I22" s="6"/>
    </row>
    <row r="23" spans="2:9">
      <c r="B23" s="6"/>
      <c r="C23" s="6"/>
      <c r="D23" s="6"/>
      <c r="E23" s="6"/>
      <c r="F23" s="6"/>
      <c r="G23" s="6"/>
      <c r="H23" s="6"/>
      <c r="I23" s="6"/>
    </row>
    <row r="24" spans="2:9">
      <c r="B24" s="6"/>
      <c r="C24" s="6"/>
      <c r="D24" s="6"/>
      <c r="E24" s="6"/>
      <c r="F24" s="6"/>
      <c r="G24" s="6"/>
      <c r="H24" s="6"/>
      <c r="I24" s="6"/>
    </row>
    <row r="25" spans="2:9">
      <c r="B25" s="6"/>
      <c r="C25" s="6"/>
      <c r="D25" s="6"/>
      <c r="E25" s="6"/>
      <c r="F25" s="6"/>
      <c r="G25" s="6"/>
      <c r="H25" s="6"/>
      <c r="I25" s="6"/>
    </row>
    <row r="26" spans="2:9">
      <c r="B26" s="6"/>
      <c r="C26" s="6"/>
      <c r="D26" s="6"/>
      <c r="E26" s="6"/>
      <c r="F26" s="6"/>
      <c r="G26" s="6"/>
      <c r="H26" s="6"/>
      <c r="I26" s="6"/>
    </row>
    <row r="27" spans="2:9">
      <c r="B27" s="6"/>
      <c r="C27" s="6"/>
      <c r="D27" s="6"/>
      <c r="E27" s="6"/>
      <c r="F27" s="6"/>
      <c r="G27" s="6"/>
      <c r="H27" s="6"/>
      <c r="I27" s="6"/>
    </row>
    <row r="28" spans="2:9">
      <c r="B28" s="6"/>
      <c r="C28" s="6"/>
      <c r="D28" s="6"/>
      <c r="E28" s="6"/>
      <c r="F28" s="6"/>
      <c r="G28" s="6"/>
      <c r="H28" s="6"/>
      <c r="I28" s="6"/>
    </row>
    <row r="29" spans="2:9">
      <c r="B29" s="6"/>
      <c r="C29" s="6"/>
      <c r="D29" s="6"/>
      <c r="E29" s="6"/>
      <c r="F29" s="6"/>
      <c r="G29" s="6"/>
      <c r="H29" s="6"/>
      <c r="I29" s="6"/>
    </row>
    <row r="30" spans="2:9">
      <c r="B30" s="6"/>
      <c r="C30" s="6"/>
      <c r="D30" s="6"/>
      <c r="E30" s="6"/>
      <c r="F30" s="6"/>
      <c r="G30" s="6"/>
      <c r="H30" s="6"/>
      <c r="I30" s="6"/>
    </row>
    <row r="31" spans="2:9">
      <c r="B31" s="6"/>
      <c r="C31" s="6"/>
      <c r="D31" s="6"/>
      <c r="E31" s="6"/>
      <c r="F31" s="6"/>
      <c r="G31" s="6"/>
      <c r="H31" s="6"/>
      <c r="I31" s="6"/>
    </row>
    <row r="32" spans="2:9">
      <c r="B32" s="6"/>
      <c r="C32" s="6"/>
      <c r="D32" s="6"/>
      <c r="E32" s="6"/>
      <c r="F32" s="6"/>
      <c r="G32" s="6"/>
      <c r="H32" s="6"/>
      <c r="I32" s="6"/>
    </row>
    <row r="33" spans="2:9">
      <c r="B33" s="6"/>
      <c r="C33" s="6"/>
      <c r="D33" s="6"/>
      <c r="E33" s="6"/>
      <c r="F33" s="6"/>
      <c r="G33" s="6"/>
      <c r="H33" s="6"/>
      <c r="I33" s="6"/>
    </row>
    <row r="34" spans="2:9">
      <c r="B34" s="6"/>
      <c r="C34" s="6"/>
      <c r="D34" s="6"/>
      <c r="E34" s="6"/>
      <c r="F34" s="6"/>
      <c r="G34" s="6"/>
      <c r="H34" s="6"/>
      <c r="I34" s="6"/>
    </row>
    <row r="35" spans="2:9">
      <c r="B35" s="6"/>
      <c r="C35" s="6"/>
      <c r="D35" s="6"/>
      <c r="E35" s="6"/>
      <c r="F35" s="6"/>
      <c r="G35" s="6"/>
      <c r="H35" s="6"/>
      <c r="I35" s="6"/>
    </row>
  </sheetData>
  <mergeCells count="4">
    <mergeCell ref="A1:XFD1"/>
    <mergeCell ref="B4:G4"/>
    <mergeCell ref="B9:G9"/>
    <mergeCell ref="B12:I35"/>
  </mergeCells>
  <pageMargins left="0.7" right="0.7" top="0.75" bottom="0.75" header="0.3" footer="0.3"/>
  <pageSetup paperSize="9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289"/>
  <sheetViews>
    <sheetView tabSelected="1" zoomScale="85" zoomScaleNormal="85" workbookViewId="0">
      <selection activeCell="N37" sqref="N37"/>
    </sheetView>
  </sheetViews>
  <sheetFormatPr defaultColWidth="9" defaultRowHeight="13.5"/>
  <cols>
    <col min="1" max="1" width="8.90833333333333" style="2" customWidth="1"/>
    <col min="2" max="6" width="9" style="2"/>
    <col min="7" max="7" width="12.5" style="2"/>
    <col min="8" max="17" width="9" style="2"/>
    <col min="18" max="18" width="4.25" style="3" customWidth="1"/>
    <col min="19" max="16384" width="9" style="2"/>
  </cols>
  <sheetData>
    <row r="1" s="1" customFormat="1" ht="30" customHeight="1" spans="1:1">
      <c r="A1" s="1" t="s">
        <v>17</v>
      </c>
    </row>
    <row r="3" ht="22.5" spans="2:7">
      <c r="B3" s="4" t="s">
        <v>18</v>
      </c>
      <c r="C3" s="4"/>
      <c r="D3" s="4"/>
      <c r="E3" s="4"/>
      <c r="F3" s="4"/>
      <c r="G3" s="4"/>
    </row>
    <row r="4" ht="22.5" customHeight="1" spans="1:12">
      <c r="A4" s="5"/>
      <c r="B4" s="5"/>
      <c r="C4" s="5"/>
      <c r="D4" s="5"/>
      <c r="E4" s="5"/>
      <c r="F4" s="5"/>
      <c r="G4" s="5"/>
      <c r="H4" s="5"/>
      <c r="I4" s="5"/>
      <c r="J4" s="5"/>
      <c r="K4" s="5"/>
      <c r="L4" s="5"/>
    </row>
    <row r="5" ht="22.5" customHeight="1" spans="2:15">
      <c r="B5" s="6"/>
      <c r="C5" s="6"/>
      <c r="D5" s="6"/>
      <c r="E5" s="6"/>
      <c r="F5" s="6"/>
      <c r="G5" s="6"/>
      <c r="H5" s="5"/>
      <c r="I5" s="5"/>
      <c r="J5" s="5"/>
      <c r="K5" s="5"/>
      <c r="L5" s="5"/>
      <c r="M5" s="5"/>
      <c r="N5" s="5"/>
      <c r="O5" s="5"/>
    </row>
    <row r="6" ht="22.5" customHeight="1" spans="1:20">
      <c r="A6" s="5"/>
      <c r="B6" s="6"/>
      <c r="C6" s="6"/>
      <c r="D6" s="6"/>
      <c r="E6" s="6"/>
      <c r="F6" s="6"/>
      <c r="G6" s="6"/>
      <c r="H6" s="5"/>
      <c r="I6" s="5"/>
      <c r="J6" s="5"/>
      <c r="K6" s="5"/>
      <c r="L6" s="5"/>
      <c r="M6" s="5"/>
      <c r="N6" s="5"/>
      <c r="O6" s="5"/>
      <c r="T6" s="2" t="s">
        <v>19</v>
      </c>
    </row>
    <row r="7" ht="22.5" customHeight="1" spans="1:21">
      <c r="A7" s="5"/>
      <c r="B7" s="6"/>
      <c r="C7" s="6"/>
      <c r="D7" s="6"/>
      <c r="E7" s="6"/>
      <c r="F7" s="6"/>
      <c r="G7" s="6"/>
      <c r="H7" s="5"/>
      <c r="I7" s="5"/>
      <c r="J7" s="5"/>
      <c r="K7" s="5"/>
      <c r="L7" s="5"/>
      <c r="M7" s="5"/>
      <c r="N7" s="5"/>
      <c r="O7" s="5"/>
      <c r="U7" s="2" t="s">
        <v>20</v>
      </c>
    </row>
    <row r="8" ht="22.5" customHeight="1" spans="1:21">
      <c r="A8" s="5"/>
      <c r="B8" s="6"/>
      <c r="C8" s="6"/>
      <c r="D8" s="6"/>
      <c r="E8" s="6"/>
      <c r="F8" s="6"/>
      <c r="G8" s="6"/>
      <c r="H8" s="5"/>
      <c r="I8" s="5"/>
      <c r="J8" s="5"/>
      <c r="K8" s="5"/>
      <c r="L8" s="5"/>
      <c r="M8" s="5"/>
      <c r="N8" s="5"/>
      <c r="O8" s="5"/>
      <c r="U8" s="2" t="s">
        <v>21</v>
      </c>
    </row>
    <row r="9" ht="22.5" customHeight="1" spans="1:21">
      <c r="A9" s="5"/>
      <c r="B9" s="6"/>
      <c r="C9" s="6"/>
      <c r="D9" s="6"/>
      <c r="E9" s="6"/>
      <c r="F9" s="6"/>
      <c r="G9" s="6"/>
      <c r="H9" s="5"/>
      <c r="I9" s="5"/>
      <c r="J9" s="5"/>
      <c r="K9" s="5"/>
      <c r="L9" s="5"/>
      <c r="M9" s="5"/>
      <c r="N9" s="5"/>
      <c r="O9" s="5"/>
      <c r="U9" s="2" t="s">
        <v>22</v>
      </c>
    </row>
    <row r="10" ht="22.5" customHeight="1" spans="1:21">
      <c r="A10" s="5"/>
      <c r="B10" s="6"/>
      <c r="C10" s="6"/>
      <c r="D10" s="6"/>
      <c r="E10" s="6"/>
      <c r="F10" s="6"/>
      <c r="G10" s="6"/>
      <c r="H10" s="5"/>
      <c r="I10" s="5"/>
      <c r="J10" s="5"/>
      <c r="K10" s="5"/>
      <c r="L10" s="5"/>
      <c r="M10" s="5"/>
      <c r="N10" s="5"/>
      <c r="O10" s="5"/>
      <c r="P10" s="7"/>
      <c r="U10" s="2" t="s">
        <v>23</v>
      </c>
    </row>
    <row r="11" ht="22.5" customHeight="1" spans="1:20">
      <c r="A11" s="5"/>
      <c r="B11" s="6"/>
      <c r="C11" s="6"/>
      <c r="D11" s="6"/>
      <c r="E11" s="6"/>
      <c r="F11" s="6"/>
      <c r="G11" s="6"/>
      <c r="H11" s="5"/>
      <c r="I11" s="5"/>
      <c r="J11" s="5"/>
      <c r="K11" s="5"/>
      <c r="L11" s="5"/>
      <c r="M11" s="5"/>
      <c r="N11" s="5"/>
      <c r="O11" s="5"/>
      <c r="T11" s="2" t="s">
        <v>24</v>
      </c>
    </row>
    <row r="12" ht="22.5" customHeight="1" spans="1:21">
      <c r="A12" s="5"/>
      <c r="B12" s="6"/>
      <c r="C12" s="6"/>
      <c r="D12" s="6"/>
      <c r="E12" s="6"/>
      <c r="F12" s="6"/>
      <c r="G12" s="6"/>
      <c r="H12" s="5"/>
      <c r="I12" s="5"/>
      <c r="J12" s="5"/>
      <c r="K12" s="5"/>
      <c r="L12" s="5"/>
      <c r="M12" s="5"/>
      <c r="N12" s="5"/>
      <c r="O12" s="5"/>
      <c r="S12" s="7"/>
      <c r="U12" s="2" t="s">
        <v>25</v>
      </c>
    </row>
    <row r="13" ht="22.5" customHeight="1" spans="1:24">
      <c r="A13" s="5"/>
      <c r="B13" s="6"/>
      <c r="C13" s="6"/>
      <c r="D13" s="6"/>
      <c r="E13" s="6"/>
      <c r="F13" s="6"/>
      <c r="G13" s="6"/>
      <c r="H13" s="5"/>
      <c r="I13" s="5"/>
      <c r="J13" s="5"/>
      <c r="K13" s="5"/>
      <c r="L13" s="5"/>
      <c r="M13" s="5"/>
      <c r="N13" s="5"/>
      <c r="O13" s="5"/>
      <c r="S13" s="7"/>
      <c r="U13" s="2" t="s">
        <v>26</v>
      </c>
      <c r="W13" s="2">
        <v>1</v>
      </c>
      <c r="X13" s="2">
        <v>2</v>
      </c>
    </row>
    <row r="14" ht="22.5" customHeight="1" spans="1:24">
      <c r="A14" s="5"/>
      <c r="B14" s="6"/>
      <c r="C14" s="6"/>
      <c r="D14" s="6"/>
      <c r="E14" s="6"/>
      <c r="F14" s="6"/>
      <c r="G14" s="6"/>
      <c r="H14" s="5"/>
      <c r="I14" s="5"/>
      <c r="J14" s="5"/>
      <c r="K14" s="5"/>
      <c r="L14" s="5"/>
      <c r="M14" s="5"/>
      <c r="N14" s="5"/>
      <c r="O14" s="5"/>
      <c r="W14" s="2">
        <v>3</v>
      </c>
      <c r="X14" s="2">
        <v>4</v>
      </c>
    </row>
    <row r="15" ht="22.5" customHeight="1" spans="1:20">
      <c r="A15" s="5"/>
      <c r="B15" s="6"/>
      <c r="C15" s="6"/>
      <c r="D15" s="6"/>
      <c r="E15" s="6"/>
      <c r="F15" s="6"/>
      <c r="G15" s="6"/>
      <c r="H15" s="5"/>
      <c r="I15" s="5"/>
      <c r="J15" s="5"/>
      <c r="K15" s="5"/>
      <c r="L15" s="5"/>
      <c r="M15" s="5"/>
      <c r="N15" s="5"/>
      <c r="O15" s="5"/>
      <c r="T15" s="2" t="s">
        <v>27</v>
      </c>
    </row>
    <row r="16" ht="22.5" customHeight="1" spans="1:15">
      <c r="A16" s="5"/>
      <c r="B16" s="6"/>
      <c r="C16" s="6"/>
      <c r="D16" s="6"/>
      <c r="E16" s="6"/>
      <c r="F16" s="6"/>
      <c r="G16" s="6"/>
      <c r="H16" s="5"/>
      <c r="I16" s="5"/>
      <c r="J16" s="5"/>
      <c r="K16" s="5"/>
      <c r="L16" s="5"/>
      <c r="M16" s="5"/>
      <c r="N16" s="5"/>
      <c r="O16" s="5"/>
    </row>
    <row r="17" ht="22.5" customHeight="1" spans="1:15">
      <c r="A17" s="5"/>
      <c r="B17" s="6"/>
      <c r="C17" s="6"/>
      <c r="D17" s="6"/>
      <c r="E17" s="6"/>
      <c r="F17" s="6"/>
      <c r="G17" s="6"/>
      <c r="H17" s="5"/>
      <c r="I17" s="5"/>
      <c r="J17" s="5"/>
      <c r="K17" s="5"/>
      <c r="L17" s="5"/>
      <c r="M17" s="5"/>
      <c r="N17" s="5"/>
      <c r="O17" s="5"/>
    </row>
    <row r="18" ht="22.5" customHeight="1" spans="1:15">
      <c r="A18" s="5"/>
      <c r="B18" s="6"/>
      <c r="C18" s="6"/>
      <c r="D18" s="6"/>
      <c r="E18" s="6"/>
      <c r="F18" s="6"/>
      <c r="G18" s="6"/>
      <c r="H18" s="5"/>
      <c r="I18" s="5"/>
      <c r="J18" s="5"/>
      <c r="K18" s="5"/>
      <c r="L18" s="5"/>
      <c r="M18" s="5"/>
      <c r="N18" s="5"/>
      <c r="O18" s="5"/>
    </row>
    <row r="19" ht="22.5" customHeight="1" spans="1:16">
      <c r="A19" s="5"/>
      <c r="B19" s="6"/>
      <c r="C19" s="6"/>
      <c r="D19" s="6"/>
      <c r="E19" s="6"/>
      <c r="F19" s="6"/>
      <c r="G19" s="6"/>
      <c r="H19" s="5"/>
      <c r="I19" s="5"/>
      <c r="J19" s="5"/>
      <c r="K19" s="5"/>
      <c r="L19" s="5"/>
      <c r="M19" s="5"/>
      <c r="N19" s="5"/>
      <c r="O19" s="5"/>
      <c r="P19" s="7"/>
    </row>
    <row r="20" ht="22.5" customHeight="1" spans="1:15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</row>
    <row r="21" ht="22.5" customHeight="1" spans="1:15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</row>
    <row r="22" ht="22.5" customHeight="1" spans="1:15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</row>
    <row r="23" ht="22.5" customHeight="1" spans="1:20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S23" s="2">
        <v>1</v>
      </c>
      <c r="T23" s="2" t="s">
        <v>28</v>
      </c>
    </row>
    <row r="24" ht="22.5" customHeight="1" spans="1:15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</row>
    <row r="25" ht="22.5" customHeight="1" spans="1:15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</row>
    <row r="26" ht="22.5" customHeight="1" spans="1:15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</row>
    <row r="27" ht="22.5" customHeight="1" spans="1:15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</row>
    <row r="28" ht="22.5" customHeight="1" spans="1:1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</row>
    <row r="29" ht="22.5" customHeight="1" spans="1:15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</row>
    <row r="30" ht="22.5" customHeight="1" spans="1:15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</row>
    <row r="31" ht="22.5" customHeight="1" spans="1:15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</row>
    <row r="32" ht="22.5" customHeight="1" spans="1:15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</row>
    <row r="33" ht="22.5" customHeight="1" spans="1:15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</row>
    <row r="34" ht="22.5" customHeight="1" spans="1:15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</row>
    <row r="35" ht="22.5" customHeight="1" spans="1:15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</row>
    <row r="36" ht="22.5" customHeight="1" spans="1:15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</row>
    <row r="37" ht="22.5" customHeight="1" spans="1:15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</row>
    <row r="38" ht="22.5" customHeight="1" spans="1:15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</row>
    <row r="39" ht="22.5" customHeight="1" spans="1:15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</row>
    <row r="40" ht="22.5" customHeight="1" spans="1:15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</row>
    <row r="41" ht="22.5" customHeight="1" spans="1:15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</row>
    <row r="42" ht="22.5" customHeight="1" spans="1:20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T42" s="2" t="s">
        <v>29</v>
      </c>
    </row>
    <row r="43" ht="22.5" spans="2:7">
      <c r="B43" s="4" t="s">
        <v>30</v>
      </c>
      <c r="C43" s="4"/>
      <c r="D43" s="4"/>
      <c r="E43" s="4"/>
      <c r="F43" s="4"/>
      <c r="G43" s="4"/>
    </row>
    <row r="44" ht="22.5" customHeight="1" spans="2:20"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T44" s="2" t="s">
        <v>31</v>
      </c>
    </row>
    <row r="45" ht="22.5" customHeight="1" spans="1:16">
      <c r="A45" s="6" t="str">
        <f>_xlfn.DISPIMG("ID_7794BD8012B140C6A53D8D5BAD08558D",1)</f>
        <v>=DISPIMG("ID_7794BD8012B140C6A53D8D5BAD08558D",1)</v>
      </c>
      <c r="B45" s="6"/>
      <c r="C45" s="6"/>
      <c r="D45" s="6"/>
      <c r="E45" s="6"/>
      <c r="F45" s="6"/>
      <c r="G45" s="6" t="str">
        <f>_xlfn.DISPIMG("ID_4AE6466956A84670A6A333F8B2539819",1)</f>
        <v>=DISPIMG("ID_4AE6466956A84670A6A333F8B2539819",1)</v>
      </c>
      <c r="H45" s="6"/>
      <c r="I45" s="6"/>
      <c r="J45" s="6"/>
      <c r="K45" s="6"/>
      <c r="L45" s="6" t="str">
        <f>_xlfn.DISPIMG("ID_78EC716B488944C69A8856A55201A134",1)</f>
        <v>=DISPIMG("ID_78EC716B488944C69A8856A55201A134",1)</v>
      </c>
      <c r="M45" s="6"/>
      <c r="N45" s="6"/>
      <c r="O45" s="6"/>
      <c r="P45" s="6"/>
    </row>
    <row r="46" ht="22.5" customHeight="1" spans="1:20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T46" s="2" t="s">
        <v>32</v>
      </c>
    </row>
    <row r="47" ht="22.5" customHeight="1" spans="1:16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</row>
    <row r="48" ht="22.5" customHeight="1" spans="1:20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T48" s="2" t="s">
        <v>33</v>
      </c>
    </row>
    <row r="49" ht="22.5" customHeight="1" spans="1:16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</row>
    <row r="50" ht="22.5" customHeight="1" spans="1:16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</row>
    <row r="51" ht="22.5" customHeight="1" spans="1:16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</row>
    <row r="52" ht="22.5" customHeight="1" spans="1:16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</row>
    <row r="53" ht="22.5" customHeight="1" spans="1:16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</row>
    <row r="54" ht="22.5" customHeight="1" spans="1:16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</row>
    <row r="55" ht="22.5" customHeight="1" spans="1:16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</row>
    <row r="56" ht="22.5" customHeight="1" spans="1:16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</row>
    <row r="57" ht="22.5" customHeight="1" spans="1:16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</row>
    <row r="58" ht="22.5" customHeight="1" spans="1:16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</row>
    <row r="59" ht="22.5" customHeight="1" spans="1:16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</row>
    <row r="60" ht="22.5" customHeight="1" spans="1:16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</row>
    <row r="61" ht="22.5" customHeight="1" spans="1:20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T61" s="2" t="s">
        <v>34</v>
      </c>
    </row>
    <row r="62" ht="22.5" spans="2:7">
      <c r="B62" s="4" t="s">
        <v>35</v>
      </c>
      <c r="C62" s="4"/>
      <c r="D62" s="4"/>
      <c r="E62" s="4"/>
      <c r="F62" s="4"/>
      <c r="G62" s="4"/>
    </row>
    <row r="63" ht="22.5" customHeight="1" spans="1:20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T63" s="2" t="s">
        <v>36</v>
      </c>
    </row>
    <row r="64" ht="22.5" customHeight="1" spans="1:16">
      <c r="A64" s="6" t="str">
        <f>_xlfn.DISPIMG("ID_93DBB5067ECD44BA8BE64A6F0549230C",1)</f>
        <v>=DISPIMG("ID_93DBB5067ECD44BA8BE64A6F0549230C",1)</v>
      </c>
      <c r="B64" s="6"/>
      <c r="C64" s="6"/>
      <c r="D64" s="6"/>
      <c r="E64" s="6"/>
      <c r="F64" s="5"/>
      <c r="G64" s="6" t="str">
        <f>_xlfn.DISPIMG("ID_006C065CBDAF426D97DBFDDFE986B949",1)</f>
        <v>=DISPIMG("ID_006C065CBDAF426D97DBFDDFE986B949",1)</v>
      </c>
      <c r="H64" s="6"/>
      <c r="I64" s="6"/>
      <c r="J64" s="6"/>
      <c r="K64" s="5"/>
      <c r="L64" s="6" t="str">
        <f>_xlfn.DISPIMG("ID_8FBC26B111C34E0DB7926A3900076399",1)</f>
        <v>=DISPIMG("ID_8FBC26B111C34E0DB7926A3900076399",1)</v>
      </c>
      <c r="M64" s="6"/>
      <c r="N64" s="6"/>
      <c r="O64" s="6"/>
      <c r="P64" s="6"/>
    </row>
    <row r="65" ht="22.5" customHeight="1" spans="1:16">
      <c r="A65" s="6"/>
      <c r="B65" s="6"/>
      <c r="C65" s="6"/>
      <c r="D65" s="6"/>
      <c r="E65" s="6"/>
      <c r="F65" s="5"/>
      <c r="G65" s="6"/>
      <c r="H65" s="6"/>
      <c r="I65" s="6"/>
      <c r="J65" s="6"/>
      <c r="K65" s="5"/>
      <c r="L65" s="6"/>
      <c r="M65" s="6"/>
      <c r="N65" s="6"/>
      <c r="O65" s="6"/>
      <c r="P65" s="6"/>
    </row>
    <row r="66" ht="22.5" customHeight="1" spans="1:16">
      <c r="A66" s="6"/>
      <c r="B66" s="6"/>
      <c r="C66" s="6"/>
      <c r="D66" s="6"/>
      <c r="E66" s="6"/>
      <c r="F66" s="5"/>
      <c r="G66" s="6"/>
      <c r="H66" s="6"/>
      <c r="I66" s="6"/>
      <c r="J66" s="6"/>
      <c r="K66" s="5"/>
      <c r="L66" s="6"/>
      <c r="M66" s="6"/>
      <c r="N66" s="6"/>
      <c r="O66" s="6"/>
      <c r="P66" s="6"/>
    </row>
    <row r="67" ht="22.5" customHeight="1" spans="1:16">
      <c r="A67" s="6"/>
      <c r="B67" s="6"/>
      <c r="C67" s="6"/>
      <c r="D67" s="6"/>
      <c r="E67" s="6"/>
      <c r="G67" s="6"/>
      <c r="H67" s="6"/>
      <c r="I67" s="6"/>
      <c r="J67" s="6"/>
      <c r="K67" s="5"/>
      <c r="L67" s="6"/>
      <c r="M67" s="6"/>
      <c r="N67" s="6"/>
      <c r="O67" s="6"/>
      <c r="P67" s="6"/>
    </row>
    <row r="68" ht="22.5" customHeight="1" spans="1:16">
      <c r="A68" s="6"/>
      <c r="B68" s="6"/>
      <c r="C68" s="6"/>
      <c r="D68" s="6"/>
      <c r="E68" s="6"/>
      <c r="G68" s="6"/>
      <c r="H68" s="6"/>
      <c r="I68" s="6"/>
      <c r="J68" s="6"/>
      <c r="K68" s="5"/>
      <c r="L68" s="6"/>
      <c r="M68" s="6"/>
      <c r="N68" s="6"/>
      <c r="O68" s="6"/>
      <c r="P68" s="6"/>
    </row>
    <row r="69" ht="22.5" customHeight="1" spans="1:16">
      <c r="A69" s="6"/>
      <c r="B69" s="6"/>
      <c r="C69" s="6"/>
      <c r="D69" s="6"/>
      <c r="E69" s="6"/>
      <c r="G69" s="6"/>
      <c r="H69" s="6"/>
      <c r="I69" s="6"/>
      <c r="J69" s="6"/>
      <c r="K69" s="5"/>
      <c r="L69" s="6"/>
      <c r="M69" s="6"/>
      <c r="N69" s="6"/>
      <c r="O69" s="6"/>
      <c r="P69" s="6"/>
    </row>
    <row r="70" ht="22.5" customHeight="1" spans="1:16">
      <c r="A70" s="6"/>
      <c r="B70" s="6"/>
      <c r="C70" s="6"/>
      <c r="D70" s="6"/>
      <c r="E70" s="6"/>
      <c r="G70" s="6"/>
      <c r="H70" s="6"/>
      <c r="I70" s="6"/>
      <c r="J70" s="6"/>
      <c r="K70" s="5"/>
      <c r="L70" s="6"/>
      <c r="M70" s="6"/>
      <c r="N70" s="6"/>
      <c r="O70" s="6"/>
      <c r="P70" s="6"/>
    </row>
    <row r="71" ht="22.5" customHeight="1" spans="1:16">
      <c r="A71" s="6"/>
      <c r="B71" s="6"/>
      <c r="C71" s="6"/>
      <c r="D71" s="6"/>
      <c r="E71" s="6"/>
      <c r="G71" s="6"/>
      <c r="H71" s="6"/>
      <c r="I71" s="6"/>
      <c r="J71" s="6"/>
      <c r="K71" s="5"/>
      <c r="L71" s="6"/>
      <c r="M71" s="6"/>
      <c r="N71" s="6"/>
      <c r="O71" s="6"/>
      <c r="P71" s="6"/>
    </row>
    <row r="72" ht="22.5" customHeight="1" spans="1:16">
      <c r="A72" s="6"/>
      <c r="B72" s="6"/>
      <c r="C72" s="6"/>
      <c r="D72" s="6"/>
      <c r="E72" s="6"/>
      <c r="G72" s="6"/>
      <c r="H72" s="6"/>
      <c r="I72" s="6"/>
      <c r="J72" s="6"/>
      <c r="K72" s="5"/>
      <c r="L72" s="6"/>
      <c r="M72" s="6"/>
      <c r="N72" s="6"/>
      <c r="O72" s="6"/>
      <c r="P72" s="6"/>
    </row>
    <row r="73" ht="22.5" customHeight="1" spans="1:16">
      <c r="A73" s="6"/>
      <c r="B73" s="6"/>
      <c r="C73" s="6"/>
      <c r="D73" s="6"/>
      <c r="E73" s="6"/>
      <c r="G73" s="6"/>
      <c r="H73" s="6"/>
      <c r="I73" s="6"/>
      <c r="J73" s="6"/>
      <c r="K73" s="5"/>
      <c r="L73" s="6"/>
      <c r="M73" s="6"/>
      <c r="N73" s="6"/>
      <c r="O73" s="6"/>
      <c r="P73" s="6"/>
    </row>
    <row r="74" ht="22.5" customHeight="1" spans="1:16">
      <c r="A74" s="6"/>
      <c r="B74" s="6"/>
      <c r="C74" s="6"/>
      <c r="D74" s="6"/>
      <c r="E74" s="6"/>
      <c r="G74" s="6"/>
      <c r="H74" s="6"/>
      <c r="I74" s="6"/>
      <c r="J74" s="6"/>
      <c r="K74" s="5"/>
      <c r="L74" s="6"/>
      <c r="M74" s="6"/>
      <c r="N74" s="6"/>
      <c r="O74" s="6"/>
      <c r="P74" s="6"/>
    </row>
    <row r="75" ht="22.5" customHeight="1" spans="1:16">
      <c r="A75" s="6"/>
      <c r="B75" s="6"/>
      <c r="C75" s="6"/>
      <c r="D75" s="6"/>
      <c r="E75" s="6"/>
      <c r="G75" s="6"/>
      <c r="H75" s="6"/>
      <c r="I75" s="6"/>
      <c r="J75" s="6"/>
      <c r="K75" s="5"/>
      <c r="L75" s="6"/>
      <c r="M75" s="6"/>
      <c r="N75" s="6"/>
      <c r="O75" s="6"/>
      <c r="P75" s="6"/>
    </row>
    <row r="76" ht="22.5" customHeight="1" spans="1:11">
      <c r="A76" s="5"/>
      <c r="B76" s="5"/>
      <c r="C76" s="5"/>
      <c r="D76" s="5"/>
      <c r="E76" s="5"/>
      <c r="G76" s="5"/>
      <c r="H76" s="5"/>
      <c r="I76" s="5"/>
      <c r="J76" s="5"/>
      <c r="K76" s="5"/>
    </row>
    <row r="77" ht="22.5" spans="2:7">
      <c r="B77" s="4" t="s">
        <v>37</v>
      </c>
      <c r="C77" s="4"/>
      <c r="D77" s="4"/>
      <c r="E77" s="4"/>
      <c r="F77" s="4"/>
      <c r="G77" s="4"/>
    </row>
    <row r="78" spans="1:11">
      <c r="A78" s="5"/>
      <c r="B78" s="5"/>
      <c r="C78" s="5"/>
      <c r="D78" s="5"/>
      <c r="E78" s="5"/>
      <c r="G78" s="5"/>
      <c r="H78" s="5"/>
      <c r="I78" s="5"/>
      <c r="J78" s="5"/>
      <c r="K78" s="5"/>
    </row>
    <row r="79" ht="22.5" customHeight="1" spans="2:11">
      <c r="B79" s="6" t="str">
        <f>_xlfn.DISPIMG("ID_50F9E4D6DCFA410ABFE21E567917943C",1)</f>
        <v>=DISPIMG("ID_50F9E4D6DCFA410ABFE21E567917943C",1)</v>
      </c>
      <c r="C79" s="6"/>
      <c r="D79" s="6"/>
      <c r="E79" s="5"/>
      <c r="F79" s="6" t="str">
        <f>_xlfn.DISPIMG("ID_FB21F1EDD19244F5BE5B29960A4F9BEE",1)</f>
        <v>=DISPIMG("ID_FB21F1EDD19244F5BE5B29960A4F9BEE",1)</v>
      </c>
      <c r="G79" s="6"/>
      <c r="H79" s="6"/>
      <c r="I79" s="5"/>
      <c r="J79" s="5"/>
      <c r="K79" s="5"/>
    </row>
    <row r="80" spans="1:11">
      <c r="A80" s="5"/>
      <c r="B80" s="6"/>
      <c r="C80" s="6"/>
      <c r="D80" s="6"/>
      <c r="E80" s="5"/>
      <c r="F80" s="6"/>
      <c r="G80" s="6"/>
      <c r="H80" s="6"/>
      <c r="I80" s="5"/>
      <c r="J80" s="5"/>
      <c r="K80" s="5"/>
    </row>
    <row r="81" spans="1:11">
      <c r="A81" s="5"/>
      <c r="B81" s="6"/>
      <c r="C81" s="6"/>
      <c r="D81" s="6"/>
      <c r="E81" s="5"/>
      <c r="F81" s="6"/>
      <c r="G81" s="6"/>
      <c r="H81" s="6"/>
      <c r="I81" s="5"/>
      <c r="J81" s="5"/>
      <c r="K81" s="5"/>
    </row>
    <row r="82" spans="1:11">
      <c r="A82" s="5"/>
      <c r="B82" s="6"/>
      <c r="C82" s="6"/>
      <c r="D82" s="6"/>
      <c r="E82" s="5"/>
      <c r="F82" s="6"/>
      <c r="G82" s="6"/>
      <c r="H82" s="6"/>
      <c r="I82" s="5"/>
      <c r="J82" s="5"/>
      <c r="K82" s="5"/>
    </row>
    <row r="83" spans="1:11">
      <c r="A83" s="5"/>
      <c r="B83" s="6"/>
      <c r="C83" s="6"/>
      <c r="D83" s="6"/>
      <c r="E83" s="5"/>
      <c r="F83" s="6"/>
      <c r="G83" s="6"/>
      <c r="H83" s="6"/>
      <c r="I83" s="5"/>
      <c r="J83" s="5"/>
      <c r="K83" s="5"/>
    </row>
    <row r="84" spans="1:11">
      <c r="A84" s="5"/>
      <c r="B84" s="6"/>
      <c r="C84" s="6"/>
      <c r="D84" s="6"/>
      <c r="E84" s="5"/>
      <c r="F84" s="6"/>
      <c r="G84" s="6"/>
      <c r="H84" s="6"/>
      <c r="I84" s="5"/>
      <c r="J84" s="5"/>
      <c r="K84" s="5"/>
    </row>
    <row r="85" spans="1:8">
      <c r="A85" s="5"/>
      <c r="B85" s="6"/>
      <c r="C85" s="6"/>
      <c r="D85" s="6"/>
      <c r="E85" s="5"/>
      <c r="F85" s="6"/>
      <c r="G85" s="6"/>
      <c r="H85" s="6"/>
    </row>
    <row r="86" spans="1:8">
      <c r="A86" s="5"/>
      <c r="B86" s="6"/>
      <c r="C86" s="6"/>
      <c r="D86" s="6"/>
      <c r="F86" s="6"/>
      <c r="G86" s="6"/>
      <c r="H86" s="6"/>
    </row>
    <row r="87" spans="1:8">
      <c r="A87" s="5"/>
      <c r="B87" s="6"/>
      <c r="C87" s="6"/>
      <c r="D87" s="6"/>
      <c r="F87" s="6"/>
      <c r="G87" s="6"/>
      <c r="H87" s="6"/>
    </row>
    <row r="88" spans="2:8">
      <c r="B88" s="6"/>
      <c r="C88" s="6"/>
      <c r="D88" s="6"/>
      <c r="F88" s="6"/>
      <c r="G88" s="6"/>
      <c r="H88" s="6"/>
    </row>
    <row r="90" ht="22.5" spans="2:7">
      <c r="B90" s="4" t="s">
        <v>37</v>
      </c>
      <c r="C90" s="4"/>
      <c r="D90" s="4"/>
      <c r="E90" s="4"/>
      <c r="F90" s="4"/>
      <c r="G90" s="4"/>
    </row>
    <row r="92" spans="2:6">
      <c r="B92" s="6" t="str">
        <f>_xlfn.DISPIMG("ID_EF2E23ED06B749A4AFCC5AB80CF9A2B9",1)</f>
        <v>=DISPIMG("ID_EF2E23ED06B749A4AFCC5AB80CF9A2B9",1)</v>
      </c>
      <c r="C92" s="6"/>
      <c r="D92" s="6"/>
      <c r="E92" s="6"/>
      <c r="F92" s="6"/>
    </row>
    <row r="93" spans="2:6">
      <c r="B93" s="6"/>
      <c r="C93" s="6"/>
      <c r="D93" s="6"/>
      <c r="E93" s="6"/>
      <c r="F93" s="6"/>
    </row>
    <row r="94" spans="2:6">
      <c r="B94" s="6"/>
      <c r="C94" s="6"/>
      <c r="D94" s="6"/>
      <c r="E94" s="6"/>
      <c r="F94" s="6"/>
    </row>
    <row r="95" spans="2:6">
      <c r="B95" s="6"/>
      <c r="C95" s="6"/>
      <c r="D95" s="6"/>
      <c r="E95" s="6"/>
      <c r="F95" s="6"/>
    </row>
    <row r="96" spans="2:6">
      <c r="B96" s="6"/>
      <c r="C96" s="6"/>
      <c r="D96" s="6"/>
      <c r="E96" s="6"/>
      <c r="F96" s="6"/>
    </row>
    <row r="97" spans="2:6">
      <c r="B97" s="6"/>
      <c r="C97" s="6"/>
      <c r="D97" s="6"/>
      <c r="E97" s="6"/>
      <c r="F97" s="6"/>
    </row>
    <row r="98" spans="2:6">
      <c r="B98" s="6"/>
      <c r="C98" s="6"/>
      <c r="D98" s="6"/>
      <c r="E98" s="6"/>
      <c r="F98" s="6"/>
    </row>
    <row r="99" spans="2:6">
      <c r="B99" s="6"/>
      <c r="C99" s="6"/>
      <c r="D99" s="6"/>
      <c r="E99" s="6"/>
      <c r="F99" s="6"/>
    </row>
    <row r="100" spans="2:6">
      <c r="B100" s="6"/>
      <c r="C100" s="6"/>
      <c r="D100" s="6"/>
      <c r="E100" s="6"/>
      <c r="F100" s="6"/>
    </row>
    <row r="101" spans="2:6">
      <c r="B101" s="6"/>
      <c r="C101" s="6"/>
      <c r="D101" s="6"/>
      <c r="E101" s="6"/>
      <c r="F101" s="6"/>
    </row>
    <row r="102" spans="2:6">
      <c r="B102" s="6"/>
      <c r="C102" s="6"/>
      <c r="D102" s="6"/>
      <c r="E102" s="6"/>
      <c r="F102" s="6"/>
    </row>
    <row r="104" ht="22.5" spans="2:7">
      <c r="B104" s="4" t="s">
        <v>37</v>
      </c>
      <c r="C104" s="4"/>
      <c r="D104" s="4"/>
      <c r="E104" s="4"/>
      <c r="F104" s="4"/>
      <c r="G104" s="4"/>
    </row>
    <row r="106" spans="2:6">
      <c r="B106" s="6" t="str">
        <f>_xlfn.DISPIMG("ID_EEABB995407F4FC4941C08C9E2FF86F9",1)</f>
        <v>=DISPIMG("ID_EEABB995407F4FC4941C08C9E2FF86F9",1)</v>
      </c>
      <c r="C106" s="6"/>
      <c r="D106" s="6"/>
      <c r="E106" s="6"/>
      <c r="F106" s="6"/>
    </row>
    <row r="107" spans="2:6">
      <c r="B107" s="6"/>
      <c r="C107" s="6"/>
      <c r="D107" s="6"/>
      <c r="E107" s="6"/>
      <c r="F107" s="6"/>
    </row>
    <row r="108" spans="2:6">
      <c r="B108" s="6"/>
      <c r="C108" s="6"/>
      <c r="D108" s="6"/>
      <c r="E108" s="6"/>
      <c r="F108" s="6"/>
    </row>
    <row r="109" spans="2:6">
      <c r="B109" s="6"/>
      <c r="C109" s="6"/>
      <c r="D109" s="6"/>
      <c r="E109" s="6"/>
      <c r="F109" s="6"/>
    </row>
    <row r="110" spans="2:6">
      <c r="B110" s="6"/>
      <c r="C110" s="6"/>
      <c r="D110" s="6"/>
      <c r="E110" s="6"/>
      <c r="F110" s="6"/>
    </row>
    <row r="111" spans="2:6">
      <c r="B111" s="6"/>
      <c r="C111" s="6"/>
      <c r="D111" s="6"/>
      <c r="E111" s="6"/>
      <c r="F111" s="6"/>
    </row>
    <row r="112" spans="2:6">
      <c r="B112" s="6"/>
      <c r="C112" s="6"/>
      <c r="D112" s="6"/>
      <c r="E112" s="6"/>
      <c r="F112" s="6"/>
    </row>
    <row r="113" spans="2:6">
      <c r="B113" s="6"/>
      <c r="C113" s="6"/>
      <c r="D113" s="6"/>
      <c r="E113" s="6"/>
      <c r="F113" s="6"/>
    </row>
    <row r="114" spans="2:6">
      <c r="B114" s="6"/>
      <c r="C114" s="6"/>
      <c r="D114" s="6"/>
      <c r="E114" s="6"/>
      <c r="F114" s="6"/>
    </row>
    <row r="115" spans="2:6">
      <c r="B115" s="6"/>
      <c r="C115" s="6"/>
      <c r="D115" s="6"/>
      <c r="E115" s="6"/>
      <c r="F115" s="6"/>
    </row>
    <row r="116" spans="2:6">
      <c r="B116" s="6"/>
      <c r="C116" s="6"/>
      <c r="D116" s="6"/>
      <c r="E116" s="6"/>
      <c r="F116" s="6"/>
    </row>
    <row r="117" spans="2:6">
      <c r="B117" s="6"/>
      <c r="C117" s="6"/>
      <c r="D117" s="6"/>
      <c r="E117" s="6"/>
      <c r="F117" s="6"/>
    </row>
    <row r="118" spans="2:6">
      <c r="B118" s="6"/>
      <c r="C118" s="6"/>
      <c r="D118" s="6"/>
      <c r="E118" s="6"/>
      <c r="F118" s="6"/>
    </row>
    <row r="119" spans="2:6">
      <c r="B119" s="6"/>
      <c r="C119" s="6"/>
      <c r="D119" s="6"/>
      <c r="E119" s="6"/>
      <c r="F119" s="6"/>
    </row>
    <row r="120" spans="2:6">
      <c r="B120" s="6"/>
      <c r="C120" s="6"/>
      <c r="D120" s="6"/>
      <c r="E120" s="6"/>
      <c r="F120" s="6"/>
    </row>
    <row r="121" spans="2:6">
      <c r="B121" s="6"/>
      <c r="C121" s="6"/>
      <c r="D121" s="6"/>
      <c r="E121" s="6"/>
      <c r="F121" s="6"/>
    </row>
    <row r="122" spans="2:6">
      <c r="B122" s="6"/>
      <c r="C122" s="6"/>
      <c r="D122" s="6"/>
      <c r="E122" s="6"/>
      <c r="F122" s="6"/>
    </row>
    <row r="123" spans="2:6">
      <c r="B123" s="6"/>
      <c r="C123" s="6"/>
      <c r="D123" s="6"/>
      <c r="E123" s="6"/>
      <c r="F123" s="6"/>
    </row>
    <row r="125" ht="22.5" spans="2:7">
      <c r="B125" s="4" t="s">
        <v>38</v>
      </c>
      <c r="C125" s="4"/>
      <c r="D125" s="4"/>
      <c r="E125" s="4"/>
      <c r="F125" s="4"/>
      <c r="G125" s="4"/>
    </row>
    <row r="149" ht="22.5" spans="2:7">
      <c r="B149" s="4" t="s">
        <v>39</v>
      </c>
      <c r="C149" s="4"/>
      <c r="D149" s="4"/>
      <c r="E149" s="4"/>
      <c r="F149" s="4"/>
      <c r="G149" s="4"/>
    </row>
    <row r="164" ht="22.5" spans="2:7">
      <c r="B164" s="4" t="s">
        <v>40</v>
      </c>
      <c r="C164" s="4"/>
      <c r="D164" s="4"/>
      <c r="E164" s="4"/>
      <c r="F164" s="4"/>
      <c r="G164" s="4"/>
    </row>
    <row r="191" ht="22.5" spans="2:7">
      <c r="B191" s="4" t="s">
        <v>41</v>
      </c>
      <c r="C191" s="4"/>
      <c r="D191" s="4"/>
      <c r="E191" s="4"/>
      <c r="F191" s="4"/>
      <c r="G191" s="4"/>
    </row>
    <row r="235" ht="22.5" spans="2:7">
      <c r="B235" s="4" t="s">
        <v>42</v>
      </c>
      <c r="C235" s="4"/>
      <c r="D235" s="4"/>
      <c r="E235" s="4"/>
      <c r="F235" s="4"/>
      <c r="G235" s="4"/>
    </row>
    <row r="248" ht="22.5" spans="2:7">
      <c r="B248" s="4" t="s">
        <v>43</v>
      </c>
      <c r="C248" s="4"/>
      <c r="D248" s="4"/>
      <c r="E248" s="4"/>
      <c r="F248" s="4"/>
      <c r="G248" s="4"/>
    </row>
    <row r="268" ht="22.5" spans="2:7">
      <c r="B268" s="4" t="s">
        <v>44</v>
      </c>
      <c r="C268" s="4"/>
      <c r="D268" s="4"/>
      <c r="E268" s="4"/>
      <c r="F268" s="4"/>
      <c r="G268" s="4"/>
    </row>
    <row r="289" ht="22.5" spans="2:7">
      <c r="B289" s="4" t="s">
        <v>45</v>
      </c>
      <c r="C289" s="4"/>
      <c r="D289" s="4"/>
      <c r="E289" s="4"/>
      <c r="F289" s="4"/>
      <c r="G289" s="4"/>
    </row>
  </sheetData>
  <mergeCells count="26">
    <mergeCell ref="A1:S1"/>
    <mergeCell ref="B3:G3"/>
    <mergeCell ref="B43:G43"/>
    <mergeCell ref="B62:G62"/>
    <mergeCell ref="B77:G77"/>
    <mergeCell ref="B90:G90"/>
    <mergeCell ref="B104:G104"/>
    <mergeCell ref="B125:G125"/>
    <mergeCell ref="B149:G149"/>
    <mergeCell ref="B164:G164"/>
    <mergeCell ref="B191:G191"/>
    <mergeCell ref="B235:G235"/>
    <mergeCell ref="B248:G248"/>
    <mergeCell ref="B268:G268"/>
    <mergeCell ref="B289:G289"/>
    <mergeCell ref="B5:G19"/>
    <mergeCell ref="A45:F60"/>
    <mergeCell ref="G45:K60"/>
    <mergeCell ref="L45:P60"/>
    <mergeCell ref="A64:E75"/>
    <mergeCell ref="G64:J75"/>
    <mergeCell ref="L64:P75"/>
    <mergeCell ref="F79:H88"/>
    <mergeCell ref="B79:D88"/>
    <mergeCell ref="B92:F102"/>
    <mergeCell ref="B106:F123"/>
  </mergeCells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日志</vt:lpstr>
      <vt:lpstr>设计思路</vt:lpstr>
      <vt:lpstr>功能设计</vt:lpstr>
      <vt:lpstr>界面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物语</cp:lastModifiedBy>
  <dcterms:created xsi:type="dcterms:W3CDTF">2023-05-12T11:15:00Z</dcterms:created>
  <dcterms:modified xsi:type="dcterms:W3CDTF">2024-12-17T02:02:22Z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0C99C685C78C4CA794F20D2B3FB97A45_12</vt:lpwstr>
  </property>
  <property fmtid="{D5CDD505-2E9C-101B-9397-08002B2CF9AE}" pid="3" name="KSOProductBuildVer">
    <vt:lpwstr>2052-12.1.0.19302</vt:lpwstr>
  </property>
</Properties>
</file>