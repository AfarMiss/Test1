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3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EA78456F0BE74FABA631D8C0F769490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59280" y="16436975"/>
          <a:ext cx="7239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DA684AB4E0E43EAB6723C08A1A8991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55140" y="10106025"/>
          <a:ext cx="704850" cy="657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1373D5857E97474FB807801665E0699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250795" y="13271500"/>
          <a:ext cx="77152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3069D425957948B3A9699737E4C2167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97075" y="65036700"/>
          <a:ext cx="619125" cy="6096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<sst xmlns="http://schemas.openxmlformats.org/spreadsheetml/2006/main" count="387" uniqueCount="210">
  <si>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</si>
  <si>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</si>
  <si>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</si>
  <si>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</si>
  <si>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</si>
  <si>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</si>
  <si>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</si>
  <si>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</si>
  <si>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</si>
  <si>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</si>
  <si>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</si>
  <si>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</si>
  <si>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传奇类特殊战斗模式，通过积累能量，变身成化身模型</t>
  </si>
  <si>
    <t>不同职业化身模型不同</t>
  </si>
  <si>
    <t>2.基本规则</t>
  </si>
  <si>
    <t>分战法道3职业，每个职业化身技能不同</t>
  </si>
  <si>
    <t>▶</t>
  </si>
  <si>
    <t>化身状态下，基础主动技能直接替换为化身技能</t>
  </si>
  <si>
    <t>化身等级提升后，化身被动技能可进一步强化化身状态下的其他主动技能</t>
  </si>
  <si>
    <t>3.解锁方式</t>
  </si>
  <si>
    <t>等级开放</t>
  </si>
  <si>
    <t>该功能有新手引导的任务</t>
  </si>
  <si>
    <t>与其他系统的关联性</t>
  </si>
  <si>
    <t>技能【同一界面不同页签，化身能强化技能功能中的基础技能效果】</t>
  </si>
  <si>
    <t>商城及其他技能材料来源系统【为技能培养提供材料】</t>
  </si>
  <si>
    <t>化身系统</t>
  </si>
  <si>
    <t>功能规则</t>
  </si>
  <si>
    <t>功能入口</t>
  </si>
  <si>
    <t>化身 相关基础规则和清单</t>
  </si>
  <si>
    <t>5功能点清单</t>
  </si>
  <si>
    <t>1.主界面点击【技能】图标进入</t>
  </si>
  <si>
    <t>角色特殊战斗规则，积累能量后变身为身外化生，改变技能和属性</t>
  </si>
  <si>
    <t>模块</t>
  </si>
  <si>
    <t>类型</t>
  </si>
  <si>
    <t>内容</t>
  </si>
  <si>
    <t>优先级</t>
  </si>
  <si>
    <t>2.图标位于界面左侧展开图标清单中</t>
  </si>
  <si>
    <t>展现职业特色，间歇性提高战斗能力，改变乏味战斗模式加快节奏</t>
  </si>
  <si>
    <t>技能</t>
  </si>
  <si>
    <t>UI和资源</t>
  </si>
  <si>
    <t>3.技能界面第二页签</t>
  </si>
  <si>
    <t>提供培养点</t>
  </si>
  <si>
    <t>化身主面板</t>
  </si>
  <si>
    <t>被动技能TIPS，图标</t>
  </si>
  <si>
    <t>分战法道3职业，各职业均有1个化身主动技能，5个被动技能</t>
  </si>
  <si>
    <t>化身界面展示模型，化身技能特效</t>
  </si>
  <si>
    <t>三职业化身有不同模型</t>
  </si>
  <si>
    <t>功能逻辑</t>
  </si>
  <si>
    <t>功能开放</t>
  </si>
  <si>
    <t>化身流程：时间或杀怪增加能量——手动或自动进入化身状态</t>
  </si>
  <si>
    <t>化身功能解锁</t>
  </si>
  <si>
    <t>——持续状态倒计时——结束化身状态——循环</t>
  </si>
  <si>
    <t>化身等级升级</t>
  </si>
  <si>
    <t>被动天赋解锁</t>
  </si>
  <si>
    <t>主线任务后解锁</t>
  </si>
  <si>
    <t>功能数值</t>
  </si>
  <si>
    <t>化身属性和属性升级效果</t>
  </si>
  <si>
    <t>化身技能逻辑和被动天赋效果</t>
  </si>
  <si>
    <t>4关联功能</t>
  </si>
  <si>
    <t>快速获取材料链接</t>
  </si>
  <si>
    <t>技能【同一界面不同页签，且化身会导致技能变化】</t>
  </si>
  <si>
    <t>6.各功能逻辑流程</t>
  </si>
  <si>
    <t>主界面：化身在主界面上有相关操作按钮</t>
  </si>
  <si>
    <t>主线任务开放</t>
  </si>
  <si>
    <t>化生等级提高</t>
  </si>
  <si>
    <t>材料+等级解锁</t>
  </si>
  <si>
    <t>化生等级</t>
  </si>
  <si>
    <t>满足材料数量和等级</t>
  </si>
  <si>
    <t>消耗材料点击升级按钮提高化身等级</t>
  </si>
  <si>
    <t>4.入口图标同技能</t>
  </si>
  <si>
    <t>被动技能解锁</t>
  </si>
  <si>
    <t>点击右侧被动技能页签查看技能信息</t>
  </si>
  <si>
    <t>化生等级解锁后自动激活对应化生被动技能</t>
  </si>
  <si>
    <t>技能界面【当前为示例】</t>
  </si>
  <si>
    <t>1.功能子页签</t>
  </si>
  <si>
    <t>1.功能开放</t>
  </si>
  <si>
    <t>【技能】、【化身】子页签</t>
  </si>
  <si>
    <t>主线或等级达到一定等级解说</t>
  </si>
  <si>
    <t>点击后进入选中状态，否则显示非选中状态</t>
  </si>
  <si>
    <t>解锁后化身默认为1级</t>
  </si>
  <si>
    <t>有红点规则【详见红点规则1】</t>
  </si>
  <si>
    <t>2.化身职业划分</t>
  </si>
  <si>
    <t>2.当前选中化身属性和下级化身属性</t>
  </si>
  <si>
    <t>根据职业不同，角色可使用不同化身技能，在界面上分别显示不同的化身模型</t>
  </si>
  <si>
    <t>当前化身属性，功能开启为1级</t>
  </si>
  <si>
    <t>战士</t>
  </si>
  <si>
    <t>战士化身技能</t>
  </si>
  <si>
    <t>下级化身属性，功能满级时显示”化身等级已达到最高</t>
  </si>
  <si>
    <t>法师</t>
  </si>
  <si>
    <t>法师化身技能</t>
  </si>
  <si>
    <t>3.当前本职业化身模，及化身变化后带来化身技能及描述</t>
  </si>
  <si>
    <t>道士</t>
  </si>
  <si>
    <t>道士化身技能</t>
  </si>
  <si>
    <t>左侧为当前本职业化身模型，当前化身等级，升级化生按钮及材料</t>
  </si>
  <si>
    <t>3.功能页签</t>
  </si>
  <si>
    <t>右侧为化身技能图标，技能等级，技能描述</t>
  </si>
  <si>
    <t>点击切换本界面功能</t>
  </si>
  <si>
    <t>4.化生后被动技能页签区域</t>
  </si>
  <si>
    <t>【红点规则1】当角色有化生等级可升级时，功能页签显示红点</t>
  </si>
  <si>
    <t>化生相关附带被动技能页签，需要有选中状态</t>
  </si>
  <si>
    <t>4.化身技能相关内容信息</t>
  </si>
  <si>
    <t>显示化身被动技能名称，被动技能图标和描述，学些状态</t>
  </si>
  <si>
    <t>化身技能属性加成</t>
  </si>
  <si>
    <t>未学习 显示：化生XX级激活</t>
  </si>
  <si>
    <t>显示化身技能当前属性</t>
  </si>
  <si>
    <t>已学习：已学习的技能绿字显示已学习</t>
  </si>
  <si>
    <t>显示化身技能下一级属性</t>
  </si>
  <si>
    <t>化身技能满级时，下一级属性显示已满级</t>
  </si>
  <si>
    <t>进入化身的方式为时间自动恢复，击杀怪物获取</t>
  </si>
  <si>
    <t>化身技能模型显示</t>
  </si>
  <si>
    <t>根据职业不同显示不同的化身技能模型</t>
  </si>
  <si>
    <t>化身技能升级方式</t>
  </si>
  <si>
    <t>化身满级时</t>
  </si>
  <si>
    <t>消耗材料，且需满足角色等级</t>
  </si>
  <si>
    <t>满足后点击升级化生提高等级</t>
  </si>
  <si>
    <t>化身主动技能强化</t>
  </si>
  <si>
    <t>进入化生状态后，会将基础技能替换为化身技能，在化身期间可无限释放</t>
  </si>
  <si>
    <t>化身结束后，可释放技能列表恢复为常规</t>
  </si>
  <si>
    <t>化身核心主动技能信息显示在化身模型右侧</t>
  </si>
  <si>
    <t>5.化身被动天赋</t>
  </si>
  <si>
    <t>化身被动天赋将在化身生效期间，用更强力效果替换其他非核心基础技能的效果</t>
  </si>
  <si>
    <t>化身被动天赋通过化身等级自动激活</t>
  </si>
  <si>
    <t>化身状态结束，这些被动也同时失效</t>
  </si>
  <si>
    <t>6.化身状态激活主界面显示规则</t>
  </si>
  <si>
    <t>在常规技能左侧常驻化身技能按钮</t>
  </si>
  <si>
    <t>技能外圈图标有能量槽，时间恢复和击杀怪物会获得能量</t>
  </si>
  <si>
    <t>能量槽满触发可变身化身状态的特效，点击或设置自动释放时，进入化身状态。基础技能替换为化身技能</t>
  </si>
  <si>
    <t>化身状态下，该按钮不可点击，外圈能量槽触发燃烧特效不断减少，时间达到后能量槽扣减为零</t>
  </si>
  <si>
    <t>【实际由后端持续时间控制，客户端表现与其吻合】</t>
  </si>
  <si>
    <t>化身状态结束</t>
  </si>
  <si>
    <t>UI需求</t>
  </si>
  <si>
    <t>序号</t>
  </si>
  <si>
    <t>对应界面</t>
  </si>
  <si>
    <t>功能需求</t>
  </si>
  <si>
    <t>策划建议</t>
  </si>
  <si>
    <t>参考图</t>
  </si>
  <si>
    <t>UI</t>
  </si>
  <si>
    <t>化身界面</t>
  </si>
  <si>
    <t>化身主界面</t>
  </si>
  <si>
    <t>详见界面功能设计</t>
  </si>
  <si>
    <t>技能TIPS界面</t>
  </si>
  <si>
    <t>3级弹窗界面</t>
  </si>
  <si>
    <t>背景图需求</t>
  </si>
  <si>
    <t>2D原画</t>
  </si>
  <si>
    <t>道具图标需求</t>
  </si>
  <si>
    <t>图标需求</t>
  </si>
  <si>
    <t>内容描述</t>
  </si>
  <si>
    <t>尺寸需求</t>
  </si>
  <si>
    <t>ICON</t>
  </si>
  <si>
    <t>法师化身技能图标</t>
  </si>
  <si>
    <t>流星火雨</t>
  </si>
  <si>
    <t>传奇法师化身技能</t>
  </si>
  <si>
    <t>90*90 大图标【需放主界面】</t>
  </si>
  <si>
    <t>星陨</t>
  </si>
  <si>
    <t>法师化身技能-强化化身技能流星火雨的被动：所有被动可相同设计</t>
  </si>
  <si>
    <t>75*75 界面图标</t>
  </si>
  <si>
    <t>燃烬</t>
  </si>
  <si>
    <t>密雨</t>
  </si>
  <si>
    <t>流火</t>
  </si>
  <si>
    <t>战士化身技能图标</t>
  </si>
  <si>
    <t>开天斩</t>
  </si>
  <si>
    <t>传奇战士化身技能</t>
  </si>
  <si>
    <t>破天</t>
  </si>
  <si>
    <t>战士化身技能-强化化身技能开天斩的被动：所有被动可相同设计</t>
  </si>
  <si>
    <t>斩天</t>
  </si>
  <si>
    <t>断天</t>
  </si>
  <si>
    <t>擎天</t>
  </si>
  <si>
    <t>道士化身技能图标</t>
  </si>
  <si>
    <t>气功波</t>
  </si>
  <si>
    <t>传奇道士化身技能</t>
  </si>
  <si>
    <t>化三清</t>
  </si>
  <si>
    <t>道士化身技能-强化化身技能气功波的被动：所有被动可相同设计</t>
  </si>
  <si>
    <t>雷劲</t>
  </si>
  <si>
    <t>风劲</t>
  </si>
  <si>
    <t>云劲</t>
  </si>
  <si>
    <t>动效需求</t>
  </si>
  <si>
    <t>描述</t>
  </si>
  <si>
    <t>动画特效</t>
  </si>
  <si>
    <t>技能特效</t>
  </si>
  <si>
    <t>详见技能特效整理文档</t>
  </si>
  <si>
    <t>其他 （ICON，模型，表情等）</t>
  </si>
  <si>
    <t>3D模型</t>
  </si>
  <si>
    <t>化身界面  战斗模型</t>
  </si>
  <si>
    <t>法师化身模型</t>
  </si>
  <si>
    <t>用于法师化身界面展示，法师化身战斗模型</t>
  </si>
  <si>
    <t>武器和模型做成一套绑死</t>
  </si>
  <si>
    <t>战士化身模型</t>
  </si>
  <si>
    <t>用于战士化身界面展示，法师化身战斗模型</t>
  </si>
  <si>
    <t>道士化身模型</t>
  </si>
  <si>
    <t>用于道士化身界面展示，法师化身战斗模型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</si>
  <si>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</si>
  <si>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</si>
  <si>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</si>
  <si>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</si>
  <si>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</si>
  <si>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</si>
  <si>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</si>
  <si>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</si>
  <si>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</si>
  <si>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</si>
  <si>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</si>
  <si>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</si>
  <si>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</si>
  <si>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</si>
  <si>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</si>
  <si>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</si>
  <si>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</si>
  <si>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</si>
  <si>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</si>
  <si>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参考游戏—暂无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</si>
</sst>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0" fillId="4" borderId="2" xfId="49" applyFont="1" applyFill="1" applyBorder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2" fillId="0" borderId="2" xfId="49" applyFont="1" applyFill="1" applyBorder="1" applyAlignment="1">
      <alignment horizontal="center" vertical="center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8.png"/><Relationship Id="rId3" Type="http://schemas.openxmlformats.org/officeDocument/2006/relationships/image" Target="media/image12.png"/><Relationship Id="rId2" Type="http://schemas.openxmlformats.org/officeDocument/2006/relationships/image" Target="media/image11.png"/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30</xdr:row>
      <xdr:rowOff>163195</xdr:rowOff>
    </xdr:from>
    <xdr:to>
      <xdr:col>10</xdr:col>
      <xdr:colOff>550545</xdr:colOff>
      <xdr:row>50</xdr:row>
      <xdr:rowOff>175260</xdr:rowOff>
    </xdr:to>
    <xdr:pic>
      <xdr:nvPicPr>
        <xdr:cNvPr id="21" name="图片 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773545"/>
          <a:ext cx="7407910" cy="4203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662940</xdr:colOff>
      <xdr:row>7</xdr:row>
      <xdr:rowOff>40640</xdr:rowOff>
    </xdr:from>
    <xdr:to>
      <xdr:col>10</xdr:col>
      <xdr:colOff>41275</xdr:colOff>
      <xdr:row>24</xdr:row>
      <xdr:rowOff>50165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2940" y="1755140"/>
          <a:ext cx="6236335" cy="3571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449580</xdr:colOff>
      <xdr:row>30</xdr:row>
      <xdr:rowOff>75565</xdr:rowOff>
    </xdr:from>
    <xdr:to>
      <xdr:col>1</xdr:col>
      <xdr:colOff>144780</xdr:colOff>
      <xdr:row>31</xdr:row>
      <xdr:rowOff>151765</xdr:rowOff>
    </xdr:to>
    <xdr:sp>
      <xdr:nvSpPr>
        <xdr:cNvPr id="4" name="线形标注 1(无边框) 3"/>
        <xdr:cNvSpPr/>
      </xdr:nvSpPr>
      <xdr:spPr>
        <a:xfrm>
          <a:off x="449580" y="6685915"/>
          <a:ext cx="381000" cy="285750"/>
        </a:xfrm>
        <a:prstGeom prst="callout1">
          <a:avLst>
            <a:gd name="adj1" fmla="val 92000"/>
            <a:gd name="adj2" fmla="val 94166"/>
            <a:gd name="adj3" fmla="val 232967"/>
            <a:gd name="adj4" fmla="val 1516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478790</xdr:colOff>
      <xdr:row>33</xdr:row>
      <xdr:rowOff>106045</xdr:rowOff>
    </xdr:from>
    <xdr:to>
      <xdr:col>2</xdr:col>
      <xdr:colOff>132715</xdr:colOff>
      <xdr:row>36</xdr:row>
      <xdr:rowOff>181610</xdr:rowOff>
    </xdr:to>
    <xdr:sp>
      <xdr:nvSpPr>
        <xdr:cNvPr id="5" name="矩形 4"/>
        <xdr:cNvSpPr/>
      </xdr:nvSpPr>
      <xdr:spPr>
        <a:xfrm>
          <a:off x="478790" y="7345045"/>
          <a:ext cx="1025525" cy="7042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46355</xdr:colOff>
      <xdr:row>33</xdr:row>
      <xdr:rowOff>104140</xdr:rowOff>
    </xdr:from>
    <xdr:to>
      <xdr:col>7</xdr:col>
      <xdr:colOff>550545</xdr:colOff>
      <xdr:row>49</xdr:row>
      <xdr:rowOff>34925</xdr:rowOff>
    </xdr:to>
    <xdr:sp>
      <xdr:nvSpPr>
        <xdr:cNvPr id="6" name="矩形 5"/>
        <xdr:cNvSpPr/>
      </xdr:nvSpPr>
      <xdr:spPr>
        <a:xfrm>
          <a:off x="2789555" y="7343140"/>
          <a:ext cx="2561590" cy="32835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140335</xdr:colOff>
      <xdr:row>30</xdr:row>
      <xdr:rowOff>89535</xdr:rowOff>
    </xdr:from>
    <xdr:to>
      <xdr:col>4</xdr:col>
      <xdr:colOff>521335</xdr:colOff>
      <xdr:row>31</xdr:row>
      <xdr:rowOff>165735</xdr:rowOff>
    </xdr:to>
    <xdr:sp>
      <xdr:nvSpPr>
        <xdr:cNvPr id="7" name="线形标注 1(无边框) 6"/>
        <xdr:cNvSpPr/>
      </xdr:nvSpPr>
      <xdr:spPr>
        <a:xfrm>
          <a:off x="2883535" y="6699885"/>
          <a:ext cx="381000" cy="285750"/>
        </a:xfrm>
        <a:prstGeom prst="callout1">
          <a:avLst>
            <a:gd name="adj1" fmla="val 92000"/>
            <a:gd name="adj2" fmla="val 94166"/>
            <a:gd name="adj3" fmla="val 236703"/>
            <a:gd name="adj4" fmla="val 174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206375</xdr:colOff>
      <xdr:row>33</xdr:row>
      <xdr:rowOff>115570</xdr:rowOff>
    </xdr:from>
    <xdr:to>
      <xdr:col>3</xdr:col>
      <xdr:colOff>633730</xdr:colOff>
      <xdr:row>46</xdr:row>
      <xdr:rowOff>7620</xdr:rowOff>
    </xdr:to>
    <xdr:sp>
      <xdr:nvSpPr>
        <xdr:cNvPr id="8" name="矩形 7"/>
        <xdr:cNvSpPr/>
      </xdr:nvSpPr>
      <xdr:spPr>
        <a:xfrm>
          <a:off x="1577975" y="7354570"/>
          <a:ext cx="1113155" cy="26162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255270</xdr:colOff>
      <xdr:row>40</xdr:row>
      <xdr:rowOff>69215</xdr:rowOff>
    </xdr:from>
    <xdr:to>
      <xdr:col>0</xdr:col>
      <xdr:colOff>657225</xdr:colOff>
      <xdr:row>41</xdr:row>
      <xdr:rowOff>167640</xdr:rowOff>
    </xdr:to>
    <xdr:sp>
      <xdr:nvSpPr>
        <xdr:cNvPr id="9" name="线形标注 1(无边框) 8"/>
        <xdr:cNvSpPr/>
      </xdr:nvSpPr>
      <xdr:spPr>
        <a:xfrm>
          <a:off x="255270" y="8775065"/>
          <a:ext cx="401955" cy="307975"/>
        </a:xfrm>
        <a:prstGeom prst="callout1">
          <a:avLst>
            <a:gd name="adj1" fmla="val 92000"/>
            <a:gd name="adj2" fmla="val 94166"/>
            <a:gd name="adj3" fmla="val -27551"/>
            <a:gd name="adj4" fmla="val 32780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683260</xdr:colOff>
      <xdr:row>32</xdr:row>
      <xdr:rowOff>57785</xdr:rowOff>
    </xdr:from>
    <xdr:to>
      <xdr:col>9</xdr:col>
      <xdr:colOff>596900</xdr:colOff>
      <xdr:row>36</xdr:row>
      <xdr:rowOff>127000</xdr:rowOff>
    </xdr:to>
    <xdr:sp>
      <xdr:nvSpPr>
        <xdr:cNvPr id="10" name="矩形 9"/>
        <xdr:cNvSpPr/>
      </xdr:nvSpPr>
      <xdr:spPr>
        <a:xfrm>
          <a:off x="5483860" y="7087235"/>
          <a:ext cx="1285240" cy="9074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401320</xdr:colOff>
      <xdr:row>29</xdr:row>
      <xdr:rowOff>26035</xdr:rowOff>
    </xdr:from>
    <xdr:to>
      <xdr:col>8</xdr:col>
      <xdr:colOff>96520</xdr:colOff>
      <xdr:row>30</xdr:row>
      <xdr:rowOff>102235</xdr:rowOff>
    </xdr:to>
    <xdr:sp>
      <xdr:nvSpPr>
        <xdr:cNvPr id="11" name="线形标注 1(无边框) 10"/>
        <xdr:cNvSpPr/>
      </xdr:nvSpPr>
      <xdr:spPr>
        <a:xfrm>
          <a:off x="5201920" y="6426835"/>
          <a:ext cx="381000" cy="285750"/>
        </a:xfrm>
        <a:prstGeom prst="callout1">
          <a:avLst>
            <a:gd name="adj1" fmla="val 92000"/>
            <a:gd name="adj2" fmla="val 94166"/>
            <a:gd name="adj3" fmla="val 225657"/>
            <a:gd name="adj4" fmla="val 231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144145</xdr:colOff>
      <xdr:row>57</xdr:row>
      <xdr:rowOff>142240</xdr:rowOff>
    </xdr:from>
    <xdr:to>
      <xdr:col>10</xdr:col>
      <xdr:colOff>574040</xdr:colOff>
      <xdr:row>77</xdr:row>
      <xdr:rowOff>87630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145" y="12410440"/>
          <a:ext cx="7287895" cy="4136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236855</xdr:colOff>
      <xdr:row>41</xdr:row>
      <xdr:rowOff>201295</xdr:rowOff>
    </xdr:from>
    <xdr:to>
      <xdr:col>29</xdr:col>
      <xdr:colOff>551180</xdr:colOff>
      <xdr:row>52</xdr:row>
      <xdr:rowOff>163195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10300" y="9116695"/>
          <a:ext cx="1000125" cy="2266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61</xdr:row>
      <xdr:rowOff>0</xdr:rowOff>
    </xdr:from>
    <xdr:to>
      <xdr:col>30</xdr:col>
      <xdr:colOff>161925</xdr:colOff>
      <xdr:row>74</xdr:row>
      <xdr:rowOff>0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987645" y="13106400"/>
          <a:ext cx="2219325" cy="272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573405</xdr:colOff>
      <xdr:row>90</xdr:row>
      <xdr:rowOff>13970</xdr:rowOff>
    </xdr:from>
    <xdr:to>
      <xdr:col>28</xdr:col>
      <xdr:colOff>182880</xdr:colOff>
      <xdr:row>106</xdr:row>
      <xdr:rowOff>99695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46250" y="19197320"/>
          <a:ext cx="4410075" cy="3438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528955</xdr:colOff>
      <xdr:row>90</xdr:row>
      <xdr:rowOff>0</xdr:rowOff>
    </xdr:from>
    <xdr:to>
      <xdr:col>33</xdr:col>
      <xdr:colOff>522605</xdr:colOff>
      <xdr:row>105</xdr:row>
      <xdr:rowOff>200025</xdr:rowOff>
    </xdr:to>
    <xdr:pic>
      <xdr:nvPicPr>
        <xdr:cNvPr id="16" name="图片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888200" y="19183350"/>
          <a:ext cx="4191000" cy="3343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28</xdr:col>
      <xdr:colOff>200025</xdr:colOff>
      <xdr:row>97</xdr:row>
      <xdr:rowOff>42545</xdr:rowOff>
    </xdr:from>
    <xdr:to>
      <xdr:col>29</xdr:col>
      <xdr:colOff>490855</xdr:colOff>
      <xdr:row>99</xdr:row>
      <xdr:rowOff>99060</xdr:rowOff>
    </xdr:to>
    <xdr:sp>
      <xdr:nvSpPr>
        <xdr:cNvPr id="17" name="右箭头 16"/>
        <xdr:cNvSpPr/>
      </xdr:nvSpPr>
      <xdr:spPr>
        <a:xfrm>
          <a:off x="18873470" y="20692745"/>
          <a:ext cx="976630" cy="475615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619125</xdr:colOff>
      <xdr:row>27</xdr:row>
      <xdr:rowOff>190500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57400" y="5486400"/>
          <a:ext cx="619125" cy="609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113</xdr:row>
      <xdr:rowOff>9525</xdr:rowOff>
    </xdr:from>
    <xdr:to>
      <xdr:col>9</xdr:col>
      <xdr:colOff>66675</xdr:colOff>
      <xdr:row>113</xdr:row>
      <xdr:rowOff>945515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83715" y="4945761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25" sqref="D25"/>
    </sheetView>
  </sheetViews>
  <sheetFormatPr defaultColWidth="9" defaultRowHeight="13.5"/>
  <cols>
    <col min="1" max="1" width="10.375" style="63"/>
    <col min="2" max="2" width="11.5" style="63" customWidth="1"/>
    <col min="3" max="3" width="15" style="63" customWidth="1"/>
    <col min="4" max="4" width="9.75" style="63" customWidth="1"/>
    <col min="5" max="16384" width="9" style="63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4" t="s">
        <v>1</v>
      </c>
      <c r="C5" s="65" t="s">
        <v>2</v>
      </c>
      <c r="D5" s="65"/>
    </row>
    <row r="6" spans="2:4">
      <c r="B6" s="66" t="s">
        <v>3</v>
      </c>
      <c r="C6" s="67" t="s">
        <v>4</v>
      </c>
      <c r="D6" s="67" t="s">
        <v>5</v>
      </c>
    </row>
    <row r="7" spans="2:4">
      <c r="B7" s="68">
        <v>45512</v>
      </c>
      <c r="C7" s="69" t="s">
        <v>6</v>
      </c>
      <c r="D7" s="69" t="s">
        <v>7</v>
      </c>
    </row>
    <row r="8" spans="2:4">
      <c r="B8" s="68"/>
      <c r="C8" s="69"/>
      <c r="D8" s="69"/>
    </row>
    <row r="9" spans="2:4">
      <c r="B9" s="68"/>
      <c r="C9" s="69"/>
      <c r="D9" s="69"/>
    </row>
    <row r="10" spans="2:4">
      <c r="B10" s="70"/>
      <c r="C10" s="69"/>
      <c r="D10" s="69"/>
    </row>
    <row r="11" spans="2:4">
      <c r="B11" s="70"/>
      <c r="C11" s="69"/>
      <c r="D11" s="69"/>
    </row>
    <row r="12" spans="2:4">
      <c r="B12" s="70"/>
      <c r="C12" s="69"/>
      <c r="D12" s="69"/>
    </row>
    <row r="13" spans="2:4">
      <c r="B13" s="70"/>
      <c r="C13" s="69"/>
      <c r="D13" s="69"/>
    </row>
    <row r="14" spans="2:4">
      <c r="B14" s="70"/>
      <c r="C14" s="69"/>
      <c r="D14" s="69"/>
    </row>
    <row r="15" spans="2:4">
      <c r="B15" s="70"/>
      <c r="C15" s="69"/>
      <c r="D15" s="69"/>
    </row>
    <row r="16" spans="2:4">
      <c r="B16" s="70"/>
      <c r="C16" s="69"/>
      <c r="D16" s="69"/>
    </row>
    <row r="17" spans="2:4">
      <c r="B17" s="70"/>
      <c r="C17" s="69"/>
      <c r="D17" s="69"/>
    </row>
    <row r="18" spans="2:4">
      <c r="B18" s="70"/>
      <c r="C18" s="69"/>
      <c r="D18" s="69"/>
    </row>
    <row r="19" spans="2:4">
      <c r="B19" s="70"/>
      <c r="C19" s="69"/>
      <c r="D19" s="69"/>
    </row>
    <row r="20" spans="2:4">
      <c r="B20" s="70"/>
      <c r="C20" s="69"/>
      <c r="D20" s="69"/>
    </row>
    <row r="21" spans="2:4">
      <c r="B21" s="70"/>
      <c r="C21" s="69"/>
      <c r="D21" s="69"/>
    </row>
    <row r="22" spans="2:4">
      <c r="B22" s="70"/>
      <c r="C22" s="69"/>
      <c r="D22" s="69"/>
    </row>
    <row r="23" spans="2:4">
      <c r="B23" s="70"/>
      <c r="C23" s="69"/>
      <c r="D23" s="69"/>
    </row>
    <row r="24" spans="2:4">
      <c r="B24" s="70"/>
      <c r="C24" s="69"/>
      <c r="D24" s="69"/>
    </row>
    <row r="25" spans="2:4">
      <c r="B25" s="70"/>
      <c r="C25" s="69"/>
      <c r="D25" s="69"/>
    </row>
    <row r="26" spans="2:4">
      <c r="B26" s="70"/>
      <c r="C26" s="69"/>
      <c r="D26" s="69"/>
    </row>
    <row r="27" spans="2:4">
      <c r="B27" s="70"/>
      <c r="C27" s="69"/>
      <c r="D27" s="6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B34" sqref="B34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9" t="s">
        <v>9</v>
      </c>
      <c r="C3" s="49"/>
      <c r="D3" s="49"/>
      <c r="E3" s="49"/>
      <c r="F3" s="49"/>
      <c r="G3" s="49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6">
      <c r="B9" s="2" t="s">
        <v>11</v>
      </c>
      <c r="C9" s="6" t="s">
        <v>15</v>
      </c>
      <c r="D9" s="6"/>
      <c r="E9" s="6"/>
      <c r="F9" s="6"/>
    </row>
    <row r="10" spans="2:3">
      <c r="B10" s="3" t="s">
        <v>16</v>
      </c>
      <c r="C10" s="6" t="s">
        <v>17</v>
      </c>
    </row>
    <row r="11" ht="20" customHeight="1" spans="2:3">
      <c r="B11" s="3" t="s">
        <v>16</v>
      </c>
      <c r="C11" s="6" t="s">
        <v>18</v>
      </c>
    </row>
    <row r="12" spans="2:3">
      <c r="B12" s="6" t="s">
        <v>19</v>
      </c>
      <c r="C12" s="6"/>
    </row>
    <row r="13" spans="2:3">
      <c r="B13" s="2" t="s">
        <v>11</v>
      </c>
      <c r="C13" s="6" t="s">
        <v>20</v>
      </c>
    </row>
    <row r="14" spans="2:3">
      <c r="B14" s="3" t="s">
        <v>16</v>
      </c>
      <c r="C14" s="1" t="s">
        <v>21</v>
      </c>
    </row>
    <row r="16" ht="22.5" spans="2:7">
      <c r="B16" s="5" t="s">
        <v>22</v>
      </c>
      <c r="C16" s="5"/>
      <c r="D16" s="5"/>
      <c r="E16" s="5"/>
      <c r="F16" s="5"/>
      <c r="G16" s="5"/>
    </row>
    <row r="18" spans="2:3">
      <c r="B18" s="3" t="s">
        <v>16</v>
      </c>
      <c r="C18" s="6" t="s">
        <v>23</v>
      </c>
    </row>
    <row r="19" spans="2:3">
      <c r="B19" s="2" t="s">
        <v>11</v>
      </c>
      <c r="C19" s="6" t="s">
        <v>24</v>
      </c>
    </row>
    <row r="26" spans="2:3">
      <c r="B26" s="2"/>
      <c r="C26" s="6"/>
    </row>
    <row r="27" spans="2:3">
      <c r="B27" s="6"/>
      <c r="C27" s="6"/>
    </row>
    <row r="28" spans="2:3">
      <c r="B28" s="2"/>
      <c r="C28" s="6"/>
    </row>
  </sheetData>
  <mergeCells count="3">
    <mergeCell ref="A1:XFD1"/>
    <mergeCell ref="B3:G3"/>
    <mergeCell ref="B16:G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17"/>
  <sheetViews>
    <sheetView zoomScale="85" zoomScaleNormal="85" workbookViewId="0">
      <pane xSplit="11" ySplit="1" topLeftCell="V2" activePane="bottomRight" state="frozen"/>
      <selection/>
      <selection pane="topRight"/>
      <selection pane="bottomLeft"/>
      <selection pane="bottomRight" activeCell="F26" sqref="F26"/>
    </sheetView>
  </sheetViews>
  <sheetFormatPr defaultColWidth="9" defaultRowHeight="16.5"/>
  <cols>
    <col min="1" max="20" width="9" style="1"/>
    <col min="21" max="21" width="2.05833333333333" style="48" customWidth="1"/>
    <col min="22" max="31" width="9" style="1"/>
    <col min="32" max="32" width="28.0833333333333" style="1" customWidth="1"/>
    <col min="33" max="16384" width="9" style="1"/>
  </cols>
  <sheetData>
    <row r="1" s="4" customFormat="1" ht="30" customHeight="1" spans="1:37">
      <c r="A1" s="4" t="s">
        <v>25</v>
      </c>
      <c r="V1" s="4" t="s">
        <v>26</v>
      </c>
      <c r="W1" s="53"/>
      <c r="AK1" s="62"/>
    </row>
    <row r="3" ht="22.5" spans="2:24">
      <c r="B3" s="49" t="s">
        <v>27</v>
      </c>
      <c r="C3" s="49"/>
      <c r="D3" s="49"/>
      <c r="E3" s="49"/>
      <c r="F3" s="49"/>
      <c r="G3" s="49"/>
      <c r="X3" s="54" t="s">
        <v>28</v>
      </c>
    </row>
    <row r="4" spans="14:30">
      <c r="N4" s="2"/>
      <c r="W4" s="1" t="s">
        <v>10</v>
      </c>
      <c r="AD4" s="1" t="s">
        <v>29</v>
      </c>
    </row>
    <row r="5" spans="2:33">
      <c r="B5" s="1" t="s">
        <v>30</v>
      </c>
      <c r="J5"/>
      <c r="L5" s="6"/>
      <c r="M5" s="6"/>
      <c r="N5" s="2"/>
      <c r="O5" s="6"/>
      <c r="W5" s="2" t="s">
        <v>11</v>
      </c>
      <c r="X5" s="1" t="s">
        <v>31</v>
      </c>
      <c r="AD5" s="12" t="s">
        <v>32</v>
      </c>
      <c r="AE5" s="56" t="s">
        <v>33</v>
      </c>
      <c r="AF5" s="56" t="s">
        <v>34</v>
      </c>
      <c r="AG5" s="56" t="s">
        <v>35</v>
      </c>
    </row>
    <row r="6" spans="2:33">
      <c r="B6" s="1" t="s">
        <v>36</v>
      </c>
      <c r="W6" s="2" t="s">
        <v>11</v>
      </c>
      <c r="X6" s="6" t="s">
        <v>37</v>
      </c>
      <c r="AD6" s="16" t="s">
        <v>38</v>
      </c>
      <c r="AE6" s="57" t="s">
        <v>39</v>
      </c>
      <c r="AF6" s="56" t="s">
        <v>27</v>
      </c>
      <c r="AG6" s="56">
        <v>1</v>
      </c>
    </row>
    <row r="7" spans="2:33">
      <c r="B7" s="1" t="s">
        <v>40</v>
      </c>
      <c r="W7" s="2" t="s">
        <v>11</v>
      </c>
      <c r="X7" s="1" t="s">
        <v>41</v>
      </c>
      <c r="AD7" s="58"/>
      <c r="AE7" s="57" t="s">
        <v>39</v>
      </c>
      <c r="AF7" s="56" t="s">
        <v>42</v>
      </c>
      <c r="AG7" s="56">
        <v>1</v>
      </c>
    </row>
    <row r="8" spans="23:33">
      <c r="W8" s="1" t="s">
        <v>14</v>
      </c>
      <c r="AD8" s="58"/>
      <c r="AE8" s="57" t="s">
        <v>39</v>
      </c>
      <c r="AF8" s="56" t="s">
        <v>43</v>
      </c>
      <c r="AG8" s="56">
        <v>1</v>
      </c>
    </row>
    <row r="9" spans="12:33">
      <c r="L9" s="6"/>
      <c r="M9" s="6"/>
      <c r="W9" s="2" t="s">
        <v>11</v>
      </c>
      <c r="X9" s="6" t="s">
        <v>44</v>
      </c>
      <c r="AD9" s="58"/>
      <c r="AE9" s="57" t="s">
        <v>39</v>
      </c>
      <c r="AF9" s="56" t="s">
        <v>45</v>
      </c>
      <c r="AG9" s="56">
        <v>3</v>
      </c>
    </row>
    <row r="10" spans="12:33">
      <c r="L10" s="2"/>
      <c r="M10" s="6"/>
      <c r="W10" s="2" t="s">
        <v>11</v>
      </c>
      <c r="X10" s="6" t="s">
        <v>46</v>
      </c>
      <c r="AD10" s="58"/>
      <c r="AE10" s="59" t="s">
        <v>47</v>
      </c>
      <c r="AF10" s="56" t="s">
        <v>48</v>
      </c>
      <c r="AG10" s="56">
        <v>1</v>
      </c>
    </row>
    <row r="11" spans="12:33">
      <c r="L11" s="2"/>
      <c r="M11" s="6"/>
      <c r="W11" s="3" t="s">
        <v>16</v>
      </c>
      <c r="X11" s="6" t="s">
        <v>49</v>
      </c>
      <c r="AD11" s="58"/>
      <c r="AE11" s="59" t="s">
        <v>47</v>
      </c>
      <c r="AF11" s="56" t="s">
        <v>50</v>
      </c>
      <c r="AG11" s="56">
        <v>1</v>
      </c>
    </row>
    <row r="12" spans="12:33">
      <c r="L12" s="6"/>
      <c r="M12" s="6"/>
      <c r="X12" s="1" t="s">
        <v>51</v>
      </c>
      <c r="AD12" s="58"/>
      <c r="AE12" s="59" t="s">
        <v>47</v>
      </c>
      <c r="AF12" s="56" t="s">
        <v>52</v>
      </c>
      <c r="AG12" s="56">
        <v>1</v>
      </c>
    </row>
    <row r="13" spans="12:33">
      <c r="L13" s="2"/>
      <c r="M13" s="6"/>
      <c r="W13" s="6" t="s">
        <v>19</v>
      </c>
      <c r="X13" s="6"/>
      <c r="AD13" s="58"/>
      <c r="AE13" s="59" t="s">
        <v>47</v>
      </c>
      <c r="AF13" s="56" t="s">
        <v>53</v>
      </c>
      <c r="AG13" s="56">
        <v>2</v>
      </c>
    </row>
    <row r="14" spans="14:33">
      <c r="N14" s="6"/>
      <c r="W14" s="2" t="s">
        <v>11</v>
      </c>
      <c r="X14" s="6" t="s">
        <v>54</v>
      </c>
      <c r="AD14" s="58"/>
      <c r="AE14" s="60" t="s">
        <v>55</v>
      </c>
      <c r="AF14" s="56" t="s">
        <v>56</v>
      </c>
      <c r="AG14" s="56">
        <v>3</v>
      </c>
    </row>
    <row r="15" spans="14:33">
      <c r="N15" s="6"/>
      <c r="W15" s="3" t="s">
        <v>16</v>
      </c>
      <c r="X15" s="1" t="s">
        <v>21</v>
      </c>
      <c r="AD15" s="58"/>
      <c r="AE15" s="60" t="s">
        <v>55</v>
      </c>
      <c r="AF15" s="56" t="s">
        <v>57</v>
      </c>
      <c r="AG15" s="56">
        <v>3</v>
      </c>
    </row>
    <row r="16" spans="14:33">
      <c r="N16" s="6"/>
      <c r="W16" s="1" t="s">
        <v>58</v>
      </c>
      <c r="AD16" s="61"/>
      <c r="AE16" s="59" t="s">
        <v>47</v>
      </c>
      <c r="AF16" s="56" t="s">
        <v>59</v>
      </c>
      <c r="AG16" s="56">
        <v>3</v>
      </c>
    </row>
    <row r="17" spans="23:24">
      <c r="W17" s="3" t="s">
        <v>16</v>
      </c>
      <c r="X17" s="6" t="s">
        <v>60</v>
      </c>
    </row>
    <row r="18" spans="23:30">
      <c r="W18" s="2" t="s">
        <v>11</v>
      </c>
      <c r="X18" s="6" t="s">
        <v>24</v>
      </c>
      <c r="AD18" s="1" t="s">
        <v>61</v>
      </c>
    </row>
    <row r="19" spans="16:31">
      <c r="P19"/>
      <c r="W19" s="2" t="s">
        <v>11</v>
      </c>
      <c r="X19" s="1" t="s">
        <v>62</v>
      </c>
      <c r="AE19" s="1" t="s">
        <v>48</v>
      </c>
    </row>
    <row r="20" spans="31:32">
      <c r="AE20" s="2" t="s">
        <v>11</v>
      </c>
      <c r="AF20" s="1" t="s">
        <v>63</v>
      </c>
    </row>
    <row r="21" spans="13:31">
      <c r="M21" s="6"/>
      <c r="N21" s="6"/>
      <c r="AE21" s="1" t="s">
        <v>64</v>
      </c>
    </row>
    <row r="22" spans="13:32">
      <c r="M22" s="2"/>
      <c r="N22" s="6"/>
      <c r="AE22" s="3" t="s">
        <v>16</v>
      </c>
      <c r="AF22" s="1" t="s">
        <v>65</v>
      </c>
    </row>
    <row r="23" spans="13:31">
      <c r="M23" s="6"/>
      <c r="N23" s="6"/>
      <c r="AE23" s="1" t="s">
        <v>66</v>
      </c>
    </row>
    <row r="24" spans="13:32">
      <c r="M24" s="2"/>
      <c r="N24" s="6"/>
      <c r="X24" s="6"/>
      <c r="AE24" s="3" t="s">
        <v>16</v>
      </c>
      <c r="AF24" s="1" t="s">
        <v>67</v>
      </c>
    </row>
    <row r="25" spans="24:32">
      <c r="X25" s="6"/>
      <c r="AE25" s="3" t="s">
        <v>16</v>
      </c>
      <c r="AF25" s="1" t="s">
        <v>68</v>
      </c>
    </row>
    <row r="26" spans="2:31">
      <c r="B26" s="1" t="s">
        <v>69</v>
      </c>
      <c r="W26" s="2"/>
      <c r="AE26" s="1" t="s">
        <v>70</v>
      </c>
    </row>
    <row r="27" spans="23:32">
      <c r="W27" s="2"/>
      <c r="AE27" s="3" t="s">
        <v>16</v>
      </c>
      <c r="AF27" s="1" t="s">
        <v>71</v>
      </c>
    </row>
    <row r="28" spans="23:32">
      <c r="W28" s="2"/>
      <c r="AE28" s="3" t="s">
        <v>16</v>
      </c>
      <c r="AF28" s="1" t="s">
        <v>72</v>
      </c>
    </row>
    <row r="29" s="48" customFormat="1" ht="22.5" spans="2:23">
      <c r="B29" s="49" t="s">
        <v>73</v>
      </c>
      <c r="C29" s="49"/>
      <c r="D29" s="49"/>
      <c r="E29" s="49"/>
      <c r="F29" s="49"/>
      <c r="G29" s="49"/>
      <c r="W29" s="55"/>
    </row>
    <row r="30" spans="23:23">
      <c r="W30" s="2"/>
    </row>
    <row r="31" spans="12:23">
      <c r="L31" s="1" t="s">
        <v>74</v>
      </c>
      <c r="T31"/>
      <c r="W31" s="1" t="s">
        <v>75</v>
      </c>
    </row>
    <row r="32" spans="12:24">
      <c r="L32" s="3" t="s">
        <v>16</v>
      </c>
      <c r="M32" s="1" t="s">
        <v>76</v>
      </c>
      <c r="W32" s="3" t="s">
        <v>16</v>
      </c>
      <c r="X32" s="1" t="s">
        <v>77</v>
      </c>
    </row>
    <row r="33" spans="11:24">
      <c r="K33"/>
      <c r="L33" s="2" t="s">
        <v>11</v>
      </c>
      <c r="M33" s="1" t="s">
        <v>78</v>
      </c>
      <c r="W33" s="2" t="s">
        <v>11</v>
      </c>
      <c r="X33" s="1" t="s">
        <v>79</v>
      </c>
    </row>
    <row r="34" spans="12:23">
      <c r="L34" s="2" t="s">
        <v>11</v>
      </c>
      <c r="M34" s="51" t="s">
        <v>80</v>
      </c>
      <c r="W34" s="1" t="s">
        <v>81</v>
      </c>
    </row>
    <row r="35" spans="12:24">
      <c r="L35" s="1" t="s">
        <v>82</v>
      </c>
      <c r="O35"/>
      <c r="W35" s="3" t="s">
        <v>16</v>
      </c>
      <c r="X35" s="1" t="s">
        <v>83</v>
      </c>
    </row>
    <row r="36" spans="12:25">
      <c r="L36" s="2" t="s">
        <v>11</v>
      </c>
      <c r="M36" s="1" t="s">
        <v>84</v>
      </c>
      <c r="S36"/>
      <c r="W36" s="3" t="s">
        <v>16</v>
      </c>
      <c r="X36" s="1" t="s">
        <v>85</v>
      </c>
      <c r="Y36" s="1" t="s">
        <v>86</v>
      </c>
    </row>
    <row r="37" spans="12:25">
      <c r="L37" s="3" t="s">
        <v>16</v>
      </c>
      <c r="M37" s="1" t="s">
        <v>87</v>
      </c>
      <c r="W37" s="3"/>
      <c r="X37" s="1" t="s">
        <v>88</v>
      </c>
      <c r="Y37" s="1" t="s">
        <v>89</v>
      </c>
    </row>
    <row r="38" spans="12:25">
      <c r="L38" s="1" t="s">
        <v>90</v>
      </c>
      <c r="R38"/>
      <c r="W38" s="3"/>
      <c r="X38" s="1" t="s">
        <v>91</v>
      </c>
      <c r="Y38" s="1" t="s">
        <v>92</v>
      </c>
    </row>
    <row r="39" spans="12:23">
      <c r="L39" s="3" t="s">
        <v>16</v>
      </c>
      <c r="M39" s="1" t="s">
        <v>93</v>
      </c>
      <c r="W39" s="1" t="s">
        <v>94</v>
      </c>
    </row>
    <row r="40" spans="12:24">
      <c r="L40" s="3" t="s">
        <v>16</v>
      </c>
      <c r="M40" s="1" t="s">
        <v>95</v>
      </c>
      <c r="W40" s="3" t="s">
        <v>16</v>
      </c>
      <c r="X40" s="1" t="s">
        <v>96</v>
      </c>
    </row>
    <row r="41" spans="12:24">
      <c r="L41" s="1" t="s">
        <v>97</v>
      </c>
      <c r="W41" s="3" t="s">
        <v>16</v>
      </c>
      <c r="X41" s="51" t="s">
        <v>98</v>
      </c>
    </row>
    <row r="42" spans="12:23">
      <c r="L42" s="3" t="s">
        <v>16</v>
      </c>
      <c r="M42" s="1" t="s">
        <v>99</v>
      </c>
      <c r="W42" s="1" t="s">
        <v>100</v>
      </c>
    </row>
    <row r="43" spans="12:24">
      <c r="L43" s="3" t="s">
        <v>16</v>
      </c>
      <c r="M43" s="1" t="s">
        <v>101</v>
      </c>
      <c r="W43" s="3" t="s">
        <v>16</v>
      </c>
      <c r="X43" s="1" t="s">
        <v>102</v>
      </c>
    </row>
    <row r="44" spans="12:24">
      <c r="L44" s="3"/>
      <c r="M44" s="1" t="s">
        <v>103</v>
      </c>
      <c r="X44" s="1" t="s">
        <v>104</v>
      </c>
    </row>
    <row r="45" spans="12:24">
      <c r="L45" s="3"/>
      <c r="M45" s="1" t="s">
        <v>105</v>
      </c>
      <c r="O45" s="52"/>
      <c r="X45" s="1" t="s">
        <v>106</v>
      </c>
    </row>
    <row r="46" spans="12:24">
      <c r="L46" s="3"/>
      <c r="X46" s="1" t="s">
        <v>107</v>
      </c>
    </row>
    <row r="47" spans="12:24">
      <c r="L47" s="3"/>
      <c r="X47" s="1" t="s">
        <v>108</v>
      </c>
    </row>
    <row r="48" spans="12:13">
      <c r="L48" s="2"/>
      <c r="M48" s="51"/>
    </row>
    <row r="49" spans="13:13">
      <c r="M49" s="52"/>
    </row>
    <row r="50" spans="12:17">
      <c r="L50" s="3"/>
      <c r="Q50" s="52"/>
    </row>
    <row r="53" spans="12:12">
      <c r="L53" s="3"/>
    </row>
    <row r="54" spans="12:24">
      <c r="L54" s="2"/>
      <c r="M54" s="51"/>
      <c r="W54" s="3" t="s">
        <v>16</v>
      </c>
      <c r="X54" s="1" t="s">
        <v>109</v>
      </c>
    </row>
    <row r="55" spans="24:24">
      <c r="X55" s="1" t="s">
        <v>110</v>
      </c>
    </row>
    <row r="56" spans="12:24">
      <c r="L56" s="3"/>
      <c r="M56" s="52"/>
      <c r="W56" s="3" t="s">
        <v>16</v>
      </c>
      <c r="X56" s="1" t="s">
        <v>111</v>
      </c>
    </row>
    <row r="57" spans="2:24">
      <c r="B57" s="50" t="s">
        <v>112</v>
      </c>
      <c r="S57"/>
      <c r="W57" s="3"/>
      <c r="X57" s="1" t="s">
        <v>113</v>
      </c>
    </row>
    <row r="58" spans="13:24">
      <c r="M58"/>
      <c r="W58" s="3"/>
      <c r="X58" s="1" t="s">
        <v>114</v>
      </c>
    </row>
    <row r="59" spans="12:24">
      <c r="L59" s="3"/>
      <c r="O59"/>
      <c r="Q59"/>
      <c r="R59"/>
      <c r="W59" s="3" t="s">
        <v>16</v>
      </c>
      <c r="X59" s="1" t="s">
        <v>115</v>
      </c>
    </row>
    <row r="60" spans="12:24">
      <c r="L60" s="3"/>
      <c r="X60" s="1" t="s">
        <v>116</v>
      </c>
    </row>
    <row r="61" spans="24:24">
      <c r="X61" s="1" t="s">
        <v>117</v>
      </c>
    </row>
    <row r="62" spans="24:24">
      <c r="X62" s="1" t="s">
        <v>118</v>
      </c>
    </row>
    <row r="63" spans="12:12">
      <c r="L63" s="3"/>
    </row>
    <row r="65" spans="12:12">
      <c r="L65" s="3"/>
    </row>
    <row r="66" spans="12:15">
      <c r="L66" s="3"/>
      <c r="N66"/>
      <c r="O66"/>
    </row>
    <row r="70" spans="2:23">
      <c r="B70"/>
      <c r="J70"/>
      <c r="L70" s="3"/>
      <c r="N70"/>
      <c r="W70" s="3"/>
    </row>
    <row r="71" spans="2:15">
      <c r="B71"/>
      <c r="L71" s="3"/>
      <c r="O71"/>
    </row>
    <row r="72" spans="12:17">
      <c r="L72" s="3"/>
      <c r="Q72"/>
    </row>
    <row r="74" spans="4:4">
      <c r="D74"/>
    </row>
    <row r="76" spans="16:23">
      <c r="P76"/>
      <c r="W76" s="1" t="s">
        <v>119</v>
      </c>
    </row>
    <row r="77" spans="9:24">
      <c r="I77"/>
      <c r="W77" s="3" t="s">
        <v>16</v>
      </c>
      <c r="X77" s="1" t="s">
        <v>120</v>
      </c>
    </row>
    <row r="78" spans="6:24">
      <c r="F78"/>
      <c r="I78"/>
      <c r="J78"/>
      <c r="L78" s="3"/>
      <c r="W78" s="3" t="s">
        <v>16</v>
      </c>
      <c r="X78" s="1" t="s">
        <v>121</v>
      </c>
    </row>
    <row r="79" spans="12:24">
      <c r="L79" s="3"/>
      <c r="W79" s="3" t="s">
        <v>16</v>
      </c>
      <c r="X79" s="1" t="s">
        <v>122</v>
      </c>
    </row>
    <row r="80" spans="23:23">
      <c r="W80" s="3"/>
    </row>
    <row r="81" spans="2:18">
      <c r="B81" s="50"/>
      <c r="L81" s="3"/>
      <c r="R81"/>
    </row>
    <row r="82" spans="12:24">
      <c r="L82" s="3"/>
      <c r="X82" s="51"/>
    </row>
    <row r="83" spans="8:23">
      <c r="H83"/>
      <c r="L83" s="3"/>
      <c r="W83" s="1" t="s">
        <v>123</v>
      </c>
    </row>
    <row r="84" spans="12:24">
      <c r="L84" s="3"/>
      <c r="N84"/>
      <c r="T84"/>
      <c r="W84" s="3" t="s">
        <v>16</v>
      </c>
      <c r="X84" s="1" t="s">
        <v>124</v>
      </c>
    </row>
    <row r="85" spans="12:24">
      <c r="L85" s="3"/>
      <c r="W85" s="3" t="s">
        <v>16</v>
      </c>
      <c r="X85" s="1" t="s">
        <v>125</v>
      </c>
    </row>
    <row r="86" spans="23:24">
      <c r="W86" s="3" t="s">
        <v>16</v>
      </c>
      <c r="X86" s="1" t="s">
        <v>126</v>
      </c>
    </row>
    <row r="87" spans="12:24">
      <c r="L87" s="3"/>
      <c r="W87" s="3" t="s">
        <v>16</v>
      </c>
      <c r="X87" s="1" t="s">
        <v>127</v>
      </c>
    </row>
    <row r="88" spans="12:24">
      <c r="L88" s="3"/>
      <c r="R88"/>
      <c r="X88" s="1" t="s">
        <v>128</v>
      </c>
    </row>
    <row r="89" spans="12:24">
      <c r="L89" s="3"/>
      <c r="W89" s="3" t="s">
        <v>16</v>
      </c>
      <c r="X89" s="1" t="s">
        <v>129</v>
      </c>
    </row>
    <row r="90" spans="12:23">
      <c r="L90" s="3"/>
      <c r="N90"/>
      <c r="W90" s="3"/>
    </row>
    <row r="91" spans="12:23">
      <c r="L91" s="3"/>
      <c r="W91" s="3"/>
    </row>
    <row r="93" spans="12:24">
      <c r="L93" s="3"/>
      <c r="W93" s="3"/>
      <c r="X93" s="6"/>
    </row>
    <row r="94" spans="12:24">
      <c r="L94" s="3"/>
      <c r="W94" s="3"/>
      <c r="X94" s="6"/>
    </row>
    <row r="95" spans="12:23">
      <c r="L95" s="3"/>
      <c r="W95" s="3"/>
    </row>
    <row r="96" spans="11:23">
      <c r="K96"/>
      <c r="L96" s="3"/>
      <c r="W96" s="3"/>
    </row>
    <row r="98" spans="12:24">
      <c r="L98" s="3"/>
      <c r="W98" s="3"/>
      <c r="X98" s="6"/>
    </row>
    <row r="99" spans="12:23">
      <c r="L99" s="3"/>
      <c r="W99" s="3"/>
    </row>
    <row r="100" spans="12:23">
      <c r="L100" s="3"/>
      <c r="W100" s="3"/>
    </row>
    <row r="102" spans="12:16">
      <c r="L102" s="3"/>
      <c r="P102"/>
    </row>
    <row r="103" spans="12:12">
      <c r="L103" s="3"/>
    </row>
    <row r="104" spans="12:12">
      <c r="L104" s="3"/>
    </row>
    <row r="108" spans="12:12">
      <c r="L108" s="3"/>
    </row>
    <row r="110" spans="12:12">
      <c r="L110" s="3"/>
    </row>
    <row r="111" spans="12:12">
      <c r="L111" s="3"/>
    </row>
    <row r="113" spans="2:2">
      <c r="B113"/>
    </row>
    <row r="117" spans="16:16">
      <c r="P117"/>
    </row>
  </sheetData>
  <mergeCells count="3">
    <mergeCell ref="B3:G3"/>
    <mergeCell ref="B29:G29"/>
    <mergeCell ref="AD6:AD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15"/>
  <sheetViews>
    <sheetView tabSelected="1" topLeftCell="A71" workbookViewId="0">
      <selection activeCell="F96" sqref="F96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56.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130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131</v>
      </c>
      <c r="C4" s="26" t="s">
        <v>33</v>
      </c>
      <c r="D4" s="26" t="s">
        <v>132</v>
      </c>
      <c r="E4" s="27" t="s">
        <v>34</v>
      </c>
      <c r="F4" s="26" t="s">
        <v>133</v>
      </c>
      <c r="G4" s="26" t="s">
        <v>134</v>
      </c>
      <c r="H4" s="28" t="s">
        <v>135</v>
      </c>
    </row>
    <row r="5" s="20" customFormat="1" spans="1:8">
      <c r="A5" s="23"/>
      <c r="B5" s="29">
        <v>1</v>
      </c>
      <c r="C5" s="29" t="s">
        <v>136</v>
      </c>
      <c r="D5" s="29" t="s">
        <v>137</v>
      </c>
      <c r="E5" s="29" t="s">
        <v>138</v>
      </c>
      <c r="F5" s="29" t="s">
        <v>139</v>
      </c>
      <c r="G5" s="29"/>
      <c r="H5" s="30"/>
    </row>
    <row r="6" s="20" customFormat="1" spans="1:8">
      <c r="A6" s="23"/>
      <c r="B6" s="29">
        <v>2</v>
      </c>
      <c r="C6" s="29" t="s">
        <v>136</v>
      </c>
      <c r="D6" s="29" t="s">
        <v>140</v>
      </c>
      <c r="E6" s="29" t="s">
        <v>141</v>
      </c>
      <c r="F6" s="29" t="s">
        <v>139</v>
      </c>
      <c r="G6" s="29"/>
      <c r="H6" s="30"/>
    </row>
    <row r="7" s="20" customFormat="1" spans="1:8">
      <c r="A7" s="23"/>
      <c r="B7" s="29">
        <v>3</v>
      </c>
      <c r="C7" s="29" t="s">
        <v>136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136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136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136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136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136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136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136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136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136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136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136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136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136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136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136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136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142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131</v>
      </c>
      <c r="C29" s="26" t="s">
        <v>33</v>
      </c>
      <c r="D29" s="26" t="s">
        <v>132</v>
      </c>
      <c r="E29" s="27" t="s">
        <v>34</v>
      </c>
      <c r="F29" s="26" t="s">
        <v>133</v>
      </c>
      <c r="G29" s="26" t="s">
        <v>134</v>
      </c>
      <c r="H29" s="28" t="s">
        <v>135</v>
      </c>
    </row>
    <row r="30" s="20" customFormat="1" ht="50" customHeight="1" spans="1:8">
      <c r="A30" s="32"/>
      <c r="B30" s="29">
        <v>1</v>
      </c>
      <c r="C30" s="29" t="s">
        <v>143</v>
      </c>
      <c r="D30" s="29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143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143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143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143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143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144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18.75" spans="1:8">
      <c r="A40" s="32"/>
      <c r="B40" s="26" t="s">
        <v>131</v>
      </c>
      <c r="C40" s="26" t="s">
        <v>33</v>
      </c>
      <c r="D40" s="26" t="s">
        <v>145</v>
      </c>
      <c r="E40" s="27" t="s">
        <v>146</v>
      </c>
      <c r="F40" s="26" t="s">
        <v>133</v>
      </c>
      <c r="G40" s="26" t="s">
        <v>147</v>
      </c>
      <c r="H40" s="28" t="s">
        <v>135</v>
      </c>
    </row>
    <row r="41" s="20" customFormat="1" ht="50" customHeight="1" spans="1:8">
      <c r="A41" s="32"/>
      <c r="B41" s="29">
        <v>1</v>
      </c>
      <c r="C41" s="29" t="s">
        <v>148</v>
      </c>
      <c r="D41" s="29" t="s">
        <v>149</v>
      </c>
      <c r="E41" s="29" t="s">
        <v>150</v>
      </c>
      <c r="F41" s="29" t="s">
        <v>151</v>
      </c>
      <c r="G41" s="29" t="s">
        <v>152</v>
      </c>
      <c r="H41" s="30" t="str">
        <f t="shared" ref="H41:H45" si="0">_xlfn.DISPIMG("ID_EDA684AB4E0E43EAB6723C08A1A8991E",1)</f>
        <v>=DISPIMG("ID_EDA684AB4E0E43EAB6723C08A1A8991E",1)</v>
      </c>
    </row>
    <row r="42" s="20" customFormat="1" ht="50" customHeight="1" spans="1:8">
      <c r="A42" s="32"/>
      <c r="B42" s="29">
        <v>2</v>
      </c>
      <c r="C42" s="29" t="s">
        <v>148</v>
      </c>
      <c r="D42" s="29" t="s">
        <v>149</v>
      </c>
      <c r="E42" s="29" t="s">
        <v>153</v>
      </c>
      <c r="F42" s="36" t="s">
        <v>154</v>
      </c>
      <c r="G42" s="29" t="s">
        <v>155</v>
      </c>
      <c r="H42" s="30" t="str">
        <f t="shared" si="0"/>
        <v>=DISPIMG("ID_EDA684AB4E0E43EAB6723C08A1A8991E",1)</v>
      </c>
    </row>
    <row r="43" s="20" customFormat="1" ht="50" customHeight="1" spans="1:8">
      <c r="A43" s="32"/>
      <c r="B43" s="29">
        <v>3</v>
      </c>
      <c r="C43" s="29" t="s">
        <v>148</v>
      </c>
      <c r="D43" s="29" t="s">
        <v>149</v>
      </c>
      <c r="E43" s="29" t="s">
        <v>156</v>
      </c>
      <c r="F43" s="36" t="s">
        <v>154</v>
      </c>
      <c r="G43" s="29" t="s">
        <v>155</v>
      </c>
      <c r="H43" s="30" t="str">
        <f t="shared" si="0"/>
        <v>=DISPIMG("ID_EDA684AB4E0E43EAB6723C08A1A8991E",1)</v>
      </c>
    </row>
    <row r="44" s="20" customFormat="1" ht="50" customHeight="1" spans="1:8">
      <c r="A44" s="32"/>
      <c r="B44" s="29">
        <v>4</v>
      </c>
      <c r="C44" s="29" t="s">
        <v>148</v>
      </c>
      <c r="D44" s="29" t="s">
        <v>149</v>
      </c>
      <c r="E44" s="29" t="s">
        <v>157</v>
      </c>
      <c r="F44" s="36" t="s">
        <v>154</v>
      </c>
      <c r="G44" s="29" t="s">
        <v>155</v>
      </c>
      <c r="H44" s="30" t="str">
        <f t="shared" si="0"/>
        <v>=DISPIMG("ID_EDA684AB4E0E43EAB6723C08A1A8991E",1)</v>
      </c>
    </row>
    <row r="45" s="20" customFormat="1" ht="50" customHeight="1" spans="1:8">
      <c r="A45" s="23"/>
      <c r="B45" s="29">
        <v>5</v>
      </c>
      <c r="C45" s="30" t="s">
        <v>148</v>
      </c>
      <c r="D45" s="29" t="s">
        <v>149</v>
      </c>
      <c r="E45" s="29" t="s">
        <v>158</v>
      </c>
      <c r="F45" s="36" t="s">
        <v>154</v>
      </c>
      <c r="G45" s="29" t="s">
        <v>155</v>
      </c>
      <c r="H45" s="30" t="str">
        <f t="shared" si="0"/>
        <v>=DISPIMG("ID_EDA684AB4E0E43EAB6723C08A1A8991E",1)</v>
      </c>
    </row>
    <row r="46" s="20" customFormat="1" ht="50" customHeight="1" spans="1:8">
      <c r="A46" s="23"/>
      <c r="B46" s="29"/>
      <c r="C46" s="30" t="s">
        <v>148</v>
      </c>
      <c r="D46" s="30" t="s">
        <v>159</v>
      </c>
      <c r="E46" s="37" t="s">
        <v>160</v>
      </c>
      <c r="F46" s="29" t="s">
        <v>161</v>
      </c>
      <c r="G46" s="29" t="s">
        <v>152</v>
      </c>
      <c r="H46" s="30" t="str">
        <f t="shared" ref="H45:H50" si="1">_xlfn.DISPIMG("ID_1373D5857E97474FB807801665E06996",1)</f>
        <v>=DISPIMG("ID_1373D5857E97474FB807801665E06996",1)</v>
      </c>
    </row>
    <row r="47" s="20" customFormat="1" ht="50" customHeight="1" spans="1:8">
      <c r="A47" s="23"/>
      <c r="B47" s="29"/>
      <c r="C47" s="30" t="s">
        <v>148</v>
      </c>
      <c r="D47" s="30" t="s">
        <v>159</v>
      </c>
      <c r="E47" s="37" t="s">
        <v>162</v>
      </c>
      <c r="F47" s="36" t="s">
        <v>163</v>
      </c>
      <c r="G47" s="29" t="s">
        <v>155</v>
      </c>
      <c r="H47" s="30" t="str">
        <f t="shared" si="1"/>
        <v>=DISPIMG("ID_1373D5857E97474FB807801665E06996",1)</v>
      </c>
    </row>
    <row r="48" s="20" customFormat="1" ht="50" customHeight="1" spans="1:8">
      <c r="A48" s="23"/>
      <c r="B48" s="29"/>
      <c r="C48" s="30" t="s">
        <v>148</v>
      </c>
      <c r="D48" s="30" t="s">
        <v>159</v>
      </c>
      <c r="E48" s="37" t="s">
        <v>164</v>
      </c>
      <c r="F48" s="36" t="s">
        <v>163</v>
      </c>
      <c r="G48" s="29" t="s">
        <v>155</v>
      </c>
      <c r="H48" s="30" t="str">
        <f t="shared" si="1"/>
        <v>=DISPIMG("ID_1373D5857E97474FB807801665E06996",1)</v>
      </c>
    </row>
    <row r="49" s="20" customFormat="1" ht="50" customHeight="1" spans="1:8">
      <c r="A49" s="23"/>
      <c r="B49" s="29"/>
      <c r="C49" s="30" t="s">
        <v>148</v>
      </c>
      <c r="D49" s="30" t="s">
        <v>159</v>
      </c>
      <c r="E49" s="37" t="s">
        <v>165</v>
      </c>
      <c r="F49" s="36" t="s">
        <v>163</v>
      </c>
      <c r="G49" s="29" t="s">
        <v>155</v>
      </c>
      <c r="H49" s="30" t="str">
        <f t="shared" si="1"/>
        <v>=DISPIMG("ID_1373D5857E97474FB807801665E06996",1)</v>
      </c>
    </row>
    <row r="50" s="20" customFormat="1" ht="50" customHeight="1" spans="1:8">
      <c r="A50" s="23"/>
      <c r="B50" s="29"/>
      <c r="C50" s="30" t="s">
        <v>148</v>
      </c>
      <c r="D50" s="30" t="s">
        <v>159</v>
      </c>
      <c r="E50" s="37" t="s">
        <v>166</v>
      </c>
      <c r="F50" s="36" t="s">
        <v>163</v>
      </c>
      <c r="G50" s="29" t="s">
        <v>155</v>
      </c>
      <c r="H50" s="30" t="str">
        <f t="shared" si="1"/>
        <v>=DISPIMG("ID_1373D5857E97474FB807801665E06996",1)</v>
      </c>
    </row>
    <row r="51" s="20" customFormat="1" ht="50" customHeight="1" spans="1:8">
      <c r="A51" s="23"/>
      <c r="B51" s="29"/>
      <c r="C51" s="30" t="s">
        <v>148</v>
      </c>
      <c r="D51" s="30" t="s">
        <v>167</v>
      </c>
      <c r="E51" s="37" t="s">
        <v>168</v>
      </c>
      <c r="F51" s="29" t="s">
        <v>169</v>
      </c>
      <c r="G51" s="29" t="s">
        <v>152</v>
      </c>
      <c r="H51" s="38" t="str">
        <f t="shared" ref="H51:H55" si="2">_xlfn.DISPIMG("ID_EA78456F0BE74FABA631D8C0F769490E",1)</f>
        <v>=DISPIMG("ID_EA78456F0BE74FABA631D8C0F769490E",1)</v>
      </c>
    </row>
    <row r="52" s="20" customFormat="1" ht="50" customHeight="1" spans="1:8">
      <c r="A52" s="23"/>
      <c r="B52" s="29"/>
      <c r="C52" s="30" t="s">
        <v>148</v>
      </c>
      <c r="D52" s="30" t="s">
        <v>167</v>
      </c>
      <c r="E52" s="37" t="s">
        <v>170</v>
      </c>
      <c r="F52" s="36" t="s">
        <v>171</v>
      </c>
      <c r="G52" s="29" t="s">
        <v>155</v>
      </c>
      <c r="H52" s="38" t="str">
        <f t="shared" si="2"/>
        <v>=DISPIMG("ID_EA78456F0BE74FABA631D8C0F769490E",1)</v>
      </c>
    </row>
    <row r="53" s="20" customFormat="1" ht="50" customHeight="1" spans="1:8">
      <c r="A53" s="23"/>
      <c r="B53" s="29"/>
      <c r="C53" s="30" t="s">
        <v>148</v>
      </c>
      <c r="D53" s="30" t="s">
        <v>167</v>
      </c>
      <c r="E53" s="37" t="s">
        <v>172</v>
      </c>
      <c r="F53" s="36" t="s">
        <v>171</v>
      </c>
      <c r="G53" s="29" t="s">
        <v>155</v>
      </c>
      <c r="H53" s="38" t="str">
        <f t="shared" si="2"/>
        <v>=DISPIMG("ID_EA78456F0BE74FABA631D8C0F769490E",1)</v>
      </c>
    </row>
    <row r="54" s="20" customFormat="1" ht="50" customHeight="1" spans="1:8">
      <c r="A54" s="23"/>
      <c r="B54" s="29"/>
      <c r="C54" s="30" t="s">
        <v>148</v>
      </c>
      <c r="D54" s="30" t="s">
        <v>167</v>
      </c>
      <c r="E54" s="37" t="s">
        <v>173</v>
      </c>
      <c r="F54" s="36" t="s">
        <v>171</v>
      </c>
      <c r="G54" s="29" t="s">
        <v>155</v>
      </c>
      <c r="H54" s="38" t="str">
        <f t="shared" si="2"/>
        <v>=DISPIMG("ID_EA78456F0BE74FABA631D8C0F769490E",1)</v>
      </c>
    </row>
    <row r="55" s="20" customFormat="1" ht="50" customHeight="1" spans="1:8">
      <c r="A55" s="23"/>
      <c r="B55" s="29"/>
      <c r="C55" s="30" t="s">
        <v>148</v>
      </c>
      <c r="D55" s="30" t="s">
        <v>167</v>
      </c>
      <c r="E55" s="37" t="s">
        <v>174</v>
      </c>
      <c r="F55" s="36" t="s">
        <v>171</v>
      </c>
      <c r="G55" s="29" t="s">
        <v>155</v>
      </c>
      <c r="H55" s="38" t="str">
        <f t="shared" si="2"/>
        <v>=DISPIMG("ID_EA78456F0BE74FABA631D8C0F769490E",1)</v>
      </c>
    </row>
    <row r="56" s="20" customFormat="1" ht="50" customHeight="1" spans="1:8">
      <c r="A56" s="23"/>
      <c r="B56" s="29"/>
      <c r="C56" s="30"/>
      <c r="D56" s="30"/>
      <c r="E56" s="37"/>
      <c r="F56" s="39"/>
      <c r="G56" s="39"/>
      <c r="H56" s="38"/>
    </row>
    <row r="57" s="20" customFormat="1" spans="1:1">
      <c r="A57" s="23"/>
    </row>
    <row r="58" s="20" customFormat="1" spans="1:1">
      <c r="A58" s="23"/>
    </row>
    <row r="59" s="20" customFormat="1" ht="18.75" spans="1:8">
      <c r="A59" s="24" t="s">
        <v>175</v>
      </c>
      <c r="B59" s="25"/>
      <c r="C59" s="25"/>
      <c r="D59" s="25"/>
      <c r="E59" s="25"/>
      <c r="F59" s="25"/>
      <c r="G59" s="25"/>
      <c r="H59" s="22"/>
    </row>
    <row r="60" s="20" customFormat="1" spans="1:1">
      <c r="A60" s="23"/>
    </row>
    <row r="61" s="20" customFormat="1" spans="1:8">
      <c r="A61" s="23"/>
      <c r="B61" s="26" t="s">
        <v>131</v>
      </c>
      <c r="C61" s="26" t="s">
        <v>33</v>
      </c>
      <c r="D61" s="26" t="s">
        <v>34</v>
      </c>
      <c r="E61" s="26" t="s">
        <v>176</v>
      </c>
      <c r="F61" s="26" t="s">
        <v>133</v>
      </c>
      <c r="G61" s="26" t="s">
        <v>134</v>
      </c>
      <c r="H61" s="28" t="s">
        <v>135</v>
      </c>
    </row>
    <row r="62" s="22" customFormat="1" spans="1:8">
      <c r="A62" s="40"/>
      <c r="B62" s="30">
        <v>1</v>
      </c>
      <c r="C62" s="30" t="s">
        <v>177</v>
      </c>
      <c r="D62" s="30" t="s">
        <v>178</v>
      </c>
      <c r="E62" s="41" t="s">
        <v>179</v>
      </c>
      <c r="F62" s="42"/>
      <c r="G62" s="42"/>
      <c r="H62" s="43"/>
    </row>
    <row r="63" s="22" customFormat="1" spans="1:8">
      <c r="A63" s="40"/>
      <c r="B63" s="30"/>
      <c r="C63" s="30"/>
      <c r="D63" s="30"/>
      <c r="E63" s="41"/>
      <c r="F63" s="42"/>
      <c r="G63" s="42"/>
      <c r="H63" s="43"/>
    </row>
    <row r="64" s="22" customFormat="1" spans="1:8">
      <c r="A64" s="40"/>
      <c r="B64" s="30"/>
      <c r="C64" s="30"/>
      <c r="D64" s="30"/>
      <c r="E64" s="41"/>
      <c r="F64" s="42"/>
      <c r="G64" s="42"/>
      <c r="H64" s="43"/>
    </row>
    <row r="65" s="22" customFormat="1" spans="1:8">
      <c r="A65" s="40"/>
      <c r="B65" s="30"/>
      <c r="C65" s="30"/>
      <c r="D65" s="30"/>
      <c r="E65" s="41"/>
      <c r="F65" s="42"/>
      <c r="G65" s="42"/>
      <c r="H65" s="43"/>
    </row>
    <row r="66" s="22" customFormat="1" spans="1:8">
      <c r="A66" s="40"/>
      <c r="B66" s="30"/>
      <c r="C66" s="30"/>
      <c r="D66" s="30"/>
      <c r="E66" s="41"/>
      <c r="F66" s="42"/>
      <c r="G66" s="42"/>
      <c r="H66" s="43"/>
    </row>
    <row r="67" s="22" customFormat="1" spans="1:8">
      <c r="A67" s="40"/>
      <c r="B67" s="30"/>
      <c r="C67" s="30"/>
      <c r="D67" s="30"/>
      <c r="E67" s="41"/>
      <c r="F67" s="42"/>
      <c r="G67" s="42"/>
      <c r="H67" s="43"/>
    </row>
    <row r="68" s="22" customFormat="1" spans="1:8">
      <c r="A68" s="40"/>
      <c r="B68" s="30"/>
      <c r="C68" s="30"/>
      <c r="D68" s="30"/>
      <c r="E68" s="41"/>
      <c r="F68" s="42"/>
      <c r="G68" s="42"/>
      <c r="H68" s="43"/>
    </row>
    <row r="69" s="22" customFormat="1" spans="1:8">
      <c r="A69" s="40"/>
      <c r="B69" s="30"/>
      <c r="C69" s="30"/>
      <c r="D69" s="30"/>
      <c r="E69" s="41"/>
      <c r="F69" s="42"/>
      <c r="G69" s="42"/>
      <c r="H69" s="43"/>
    </row>
    <row r="70" s="22" customFormat="1" spans="1:8">
      <c r="A70" s="40"/>
      <c r="B70" s="30"/>
      <c r="C70" s="30"/>
      <c r="D70" s="30"/>
      <c r="E70" s="41"/>
      <c r="F70" s="42"/>
      <c r="G70" s="42"/>
      <c r="H70" s="43"/>
    </row>
    <row r="71" s="22" customFormat="1" spans="1:8">
      <c r="A71" s="40"/>
      <c r="B71" s="30"/>
      <c r="C71" s="30"/>
      <c r="D71" s="30"/>
      <c r="E71" s="41"/>
      <c r="F71" s="42"/>
      <c r="G71" s="42"/>
      <c r="H71" s="43"/>
    </row>
    <row r="72" s="22" customFormat="1" spans="1:8">
      <c r="A72" s="40"/>
      <c r="B72" s="30"/>
      <c r="C72" s="30"/>
      <c r="D72" s="30"/>
      <c r="E72" s="41"/>
      <c r="F72" s="42"/>
      <c r="G72" s="42"/>
      <c r="H72" s="43"/>
    </row>
    <row r="73" s="22" customFormat="1" spans="1:8">
      <c r="A73" s="40"/>
      <c r="B73" s="30"/>
      <c r="C73" s="30"/>
      <c r="D73" s="30"/>
      <c r="E73" s="41"/>
      <c r="F73" s="42"/>
      <c r="G73" s="42"/>
      <c r="H73" s="43"/>
    </row>
    <row r="74" s="22" customFormat="1" spans="1:8">
      <c r="A74" s="40"/>
      <c r="B74" s="30"/>
      <c r="C74" s="30"/>
      <c r="D74" s="30"/>
      <c r="E74" s="41"/>
      <c r="F74" s="42"/>
      <c r="G74" s="42"/>
      <c r="H74" s="43"/>
    </row>
    <row r="75" s="22" customFormat="1" spans="1:8">
      <c r="A75" s="40"/>
      <c r="B75" s="30"/>
      <c r="C75" s="30"/>
      <c r="D75" s="30"/>
      <c r="E75" s="41"/>
      <c r="F75" s="42"/>
      <c r="G75" s="42"/>
      <c r="H75" s="43"/>
    </row>
    <row r="76" s="22" customFormat="1" spans="1:8">
      <c r="A76" s="40"/>
      <c r="B76" s="30"/>
      <c r="C76" s="30"/>
      <c r="D76" s="30"/>
      <c r="E76" s="41"/>
      <c r="F76" s="42"/>
      <c r="G76" s="42"/>
      <c r="H76" s="43"/>
    </row>
    <row r="77" s="22" customFormat="1" spans="1:8">
      <c r="A77" s="40"/>
      <c r="B77" s="30"/>
      <c r="C77" s="30"/>
      <c r="D77" s="30"/>
      <c r="E77" s="41"/>
      <c r="F77" s="42"/>
      <c r="G77" s="42"/>
      <c r="H77" s="43"/>
    </row>
    <row r="78" s="22" customFormat="1" spans="1:8">
      <c r="A78" s="40"/>
      <c r="B78" s="30"/>
      <c r="C78" s="30"/>
      <c r="D78" s="30"/>
      <c r="E78" s="41"/>
      <c r="F78" s="42"/>
      <c r="G78" s="42"/>
      <c r="H78" s="43"/>
    </row>
    <row r="79" s="22" customFormat="1" spans="1:8">
      <c r="A79" s="40"/>
      <c r="B79" s="30"/>
      <c r="C79" s="30"/>
      <c r="D79" s="30"/>
      <c r="E79" s="41"/>
      <c r="F79" s="42"/>
      <c r="G79" s="42"/>
      <c r="H79" s="43"/>
    </row>
    <row r="80" s="22" customFormat="1" spans="1:8">
      <c r="A80" s="40"/>
      <c r="B80" s="30"/>
      <c r="C80" s="30"/>
      <c r="D80" s="30"/>
      <c r="E80" s="41"/>
      <c r="F80" s="42"/>
      <c r="G80" s="42"/>
      <c r="H80" s="43"/>
    </row>
    <row r="81" s="22" customFormat="1" spans="1:8">
      <c r="A81" s="40"/>
      <c r="B81" s="30"/>
      <c r="C81" s="30"/>
      <c r="D81" s="30"/>
      <c r="E81" s="41"/>
      <c r="F81" s="42"/>
      <c r="G81" s="42"/>
      <c r="H81" s="43"/>
    </row>
    <row r="82" s="22" customFormat="1" spans="1:8">
      <c r="A82" s="40"/>
      <c r="B82" s="30"/>
      <c r="C82" s="30"/>
      <c r="D82" s="30"/>
      <c r="E82" s="41"/>
      <c r="F82" s="42"/>
      <c r="G82" s="42"/>
      <c r="H82" s="43"/>
    </row>
    <row r="83" s="22" customFormat="1" spans="1:8">
      <c r="A83" s="40"/>
      <c r="B83" s="30"/>
      <c r="C83" s="30"/>
      <c r="D83" s="30"/>
      <c r="E83" s="41"/>
      <c r="F83" s="42"/>
      <c r="G83" s="42"/>
      <c r="H83" s="43"/>
    </row>
    <row r="84" s="22" customFormat="1" spans="1:8">
      <c r="A84" s="40"/>
      <c r="B84" s="30"/>
      <c r="C84" s="30"/>
      <c r="D84" s="30"/>
      <c r="E84" s="41"/>
      <c r="F84" s="42"/>
      <c r="G84" s="42"/>
      <c r="H84" s="43"/>
    </row>
    <row r="85" s="22" customFormat="1" spans="1:8">
      <c r="A85" s="40"/>
      <c r="B85" s="30"/>
      <c r="C85" s="30"/>
      <c r="D85" s="30"/>
      <c r="E85" s="41"/>
      <c r="F85" s="42"/>
      <c r="G85" s="42"/>
      <c r="H85" s="43"/>
    </row>
    <row r="86" s="22" customFormat="1" spans="1:8">
      <c r="A86" s="40"/>
      <c r="B86" s="30"/>
      <c r="C86" s="30"/>
      <c r="D86" s="30"/>
      <c r="E86" s="41"/>
      <c r="F86" s="42"/>
      <c r="G86" s="42"/>
      <c r="H86" s="43"/>
    </row>
    <row r="87" s="20" customFormat="1" spans="1:1">
      <c r="A87" s="23"/>
    </row>
    <row r="88" s="20" customFormat="1" ht="18.75" spans="1:8">
      <c r="A88" s="24" t="s">
        <v>180</v>
      </c>
      <c r="B88" s="25"/>
      <c r="C88" s="25"/>
      <c r="D88" s="25"/>
      <c r="E88" s="25"/>
      <c r="F88" s="25"/>
      <c r="G88" s="25"/>
      <c r="H88" s="22"/>
    </row>
    <row r="89" s="20" customFormat="1" spans="1:1">
      <c r="A89" s="23"/>
    </row>
    <row r="91" s="20" customFormat="1" spans="1:8">
      <c r="A91" s="23"/>
      <c r="B91" s="26" t="s">
        <v>131</v>
      </c>
      <c r="C91" s="26" t="s">
        <v>33</v>
      </c>
      <c r="D91" s="26" t="s">
        <v>132</v>
      </c>
      <c r="E91" s="26" t="s">
        <v>34</v>
      </c>
      <c r="F91" s="26" t="s">
        <v>133</v>
      </c>
      <c r="G91" s="26" t="s">
        <v>134</v>
      </c>
      <c r="H91" s="28" t="s">
        <v>135</v>
      </c>
    </row>
    <row r="92" s="22" customFormat="1" ht="72.95" customHeight="1" spans="1:8">
      <c r="A92" s="40"/>
      <c r="B92" s="30">
        <v>1</v>
      </c>
      <c r="C92" s="30" t="s">
        <v>181</v>
      </c>
      <c r="D92" s="30" t="s">
        <v>182</v>
      </c>
      <c r="E92" s="44" t="s">
        <v>183</v>
      </c>
      <c r="F92" s="42" t="s">
        <v>184</v>
      </c>
      <c r="G92" s="45" t="s">
        <v>185</v>
      </c>
      <c r="H92" s="43"/>
    </row>
    <row r="93" s="22" customFormat="1" ht="78" customHeight="1" spans="1:7">
      <c r="A93" s="40"/>
      <c r="B93" s="30">
        <v>2</v>
      </c>
      <c r="C93" s="30" t="s">
        <v>181</v>
      </c>
      <c r="D93" s="30" t="s">
        <v>182</v>
      </c>
      <c r="E93" s="44" t="s">
        <v>186</v>
      </c>
      <c r="F93" s="42" t="s">
        <v>187</v>
      </c>
      <c r="G93" s="45" t="s">
        <v>185</v>
      </c>
    </row>
    <row r="94" s="22" customFormat="1" ht="72.95" customHeight="1" spans="1:8">
      <c r="A94" s="40"/>
      <c r="B94" s="30">
        <v>3</v>
      </c>
      <c r="C94" s="30" t="s">
        <v>181</v>
      </c>
      <c r="D94" s="30" t="s">
        <v>182</v>
      </c>
      <c r="E94" s="44" t="s">
        <v>188</v>
      </c>
      <c r="F94" s="42" t="s">
        <v>189</v>
      </c>
      <c r="G94" s="45" t="s">
        <v>185</v>
      </c>
      <c r="H94" s="43"/>
    </row>
    <row r="95" s="22" customFormat="1" ht="69" customHeight="1" spans="1:8">
      <c r="A95" s="40"/>
      <c r="B95" s="30">
        <v>4</v>
      </c>
      <c r="C95" s="30" t="s">
        <v>148</v>
      </c>
      <c r="D95" s="30" t="s">
        <v>190</v>
      </c>
      <c r="E95" s="41" t="s">
        <v>191</v>
      </c>
      <c r="F95" s="41" t="s">
        <v>191</v>
      </c>
      <c r="G95" s="42"/>
      <c r="H95" s="43" t="str">
        <f>_xlfn.DISPIMG("ID_3069D425957948B3A9699737E4C21671",1)</f>
        <v>=DISPIMG("ID_3069D425957948B3A9699737E4C21671",1)</v>
      </c>
    </row>
    <row r="96" s="22" customFormat="1" ht="75" customHeight="1" spans="1:8">
      <c r="A96" s="40"/>
      <c r="B96" s="30"/>
      <c r="C96" s="30"/>
      <c r="D96" s="30"/>
      <c r="E96" s="44"/>
      <c r="F96" s="42"/>
      <c r="G96" s="42"/>
      <c r="H96" s="43"/>
    </row>
    <row r="97" s="22" customFormat="1" ht="78.95" customHeight="1" spans="1:8">
      <c r="A97" s="40"/>
      <c r="B97" s="30"/>
      <c r="C97" s="30"/>
      <c r="D97" s="30"/>
      <c r="E97" s="44"/>
      <c r="F97" s="42"/>
      <c r="G97" s="42"/>
      <c r="H97" s="43"/>
    </row>
    <row r="98" s="22" customFormat="1" ht="72" customHeight="1" spans="1:8">
      <c r="A98" s="40"/>
      <c r="B98" s="30"/>
      <c r="C98" s="30"/>
      <c r="D98" s="30"/>
      <c r="E98" s="44"/>
      <c r="F98" s="42"/>
      <c r="G98" s="42"/>
      <c r="H98" s="43"/>
    </row>
    <row r="99" s="22" customFormat="1" ht="96.95" customHeight="1" spans="1:8">
      <c r="A99" s="40"/>
      <c r="B99" s="30"/>
      <c r="C99" s="30"/>
      <c r="D99" s="30"/>
      <c r="E99" s="44"/>
      <c r="F99" s="42"/>
      <c r="G99" s="42"/>
      <c r="H99" s="43"/>
    </row>
    <row r="100" s="22" customFormat="1" ht="104.1" customHeight="1" spans="1:8">
      <c r="A100" s="40"/>
      <c r="B100" s="30"/>
      <c r="C100" s="30"/>
      <c r="D100" s="30"/>
      <c r="E100" s="44"/>
      <c r="F100" s="42"/>
      <c r="G100" s="42"/>
      <c r="H100" s="43"/>
    </row>
    <row r="101" s="22" customFormat="1" ht="87" customHeight="1" spans="1:8">
      <c r="A101" s="40"/>
      <c r="B101" s="30"/>
      <c r="C101" s="30"/>
      <c r="D101" s="30"/>
      <c r="E101" s="44"/>
      <c r="F101" s="42"/>
      <c r="G101" s="42"/>
      <c r="H101" s="43"/>
    </row>
    <row r="102" s="22" customFormat="1" ht="84.95" customHeight="1" spans="1:8">
      <c r="A102" s="40"/>
      <c r="B102" s="30"/>
      <c r="C102" s="30"/>
      <c r="D102" s="30"/>
      <c r="E102" s="44"/>
      <c r="F102" s="42"/>
      <c r="G102" s="42"/>
      <c r="H102" s="43"/>
    </row>
    <row r="103" s="22" customFormat="1" ht="86.1" customHeight="1" spans="1:8">
      <c r="A103" s="40"/>
      <c r="B103" s="30"/>
      <c r="C103" s="30"/>
      <c r="D103" s="30"/>
      <c r="E103" s="44"/>
      <c r="F103" s="42"/>
      <c r="G103" s="42"/>
      <c r="H103" s="43"/>
    </row>
    <row r="104" s="22" customFormat="1" ht="78" customHeight="1" spans="1:8">
      <c r="A104" s="40"/>
      <c r="B104" s="30"/>
      <c r="C104" s="30"/>
      <c r="D104" s="30"/>
      <c r="E104" s="44"/>
      <c r="F104" s="42"/>
      <c r="G104" s="42"/>
      <c r="H104" s="43"/>
    </row>
    <row r="105" s="22" customFormat="1" ht="81.95" customHeight="1" spans="1:8">
      <c r="A105" s="40"/>
      <c r="B105" s="30"/>
      <c r="C105" s="30"/>
      <c r="D105" s="30"/>
      <c r="E105" s="44"/>
      <c r="F105" s="42"/>
      <c r="G105" s="42"/>
      <c r="H105" s="46"/>
    </row>
    <row r="106" s="22" customFormat="1" ht="93" customHeight="1" spans="1:8">
      <c r="A106" s="40"/>
      <c r="B106" s="30"/>
      <c r="C106" s="30"/>
      <c r="D106" s="30"/>
      <c r="E106" s="44"/>
      <c r="F106" s="42"/>
      <c r="G106" s="42"/>
      <c r="H106" s="43"/>
    </row>
    <row r="107" s="22" customFormat="1" ht="96.95" customHeight="1" spans="1:8">
      <c r="A107" s="40"/>
      <c r="B107" s="30"/>
      <c r="C107" s="30"/>
      <c r="D107" s="30"/>
      <c r="E107" s="44"/>
      <c r="F107" s="42"/>
      <c r="G107" s="42"/>
      <c r="H107" s="43"/>
    </row>
    <row r="108" s="22" customFormat="1" ht="81" customHeight="1" spans="1:8">
      <c r="A108" s="40"/>
      <c r="B108" s="30"/>
      <c r="C108" s="30"/>
      <c r="D108" s="30"/>
      <c r="E108" s="44"/>
      <c r="F108" s="42"/>
      <c r="G108" s="42"/>
      <c r="H108" s="43"/>
    </row>
    <row r="109" s="22" customFormat="1" ht="84" customHeight="1" spans="1:8">
      <c r="A109" s="40"/>
      <c r="B109" s="30"/>
      <c r="C109" s="30"/>
      <c r="D109" s="30"/>
      <c r="E109" s="44"/>
      <c r="F109" s="42"/>
      <c r="G109" s="42"/>
      <c r="H109" s="43"/>
    </row>
    <row r="110" s="22" customFormat="1" ht="84" customHeight="1" spans="1:8">
      <c r="A110" s="40"/>
      <c r="B110" s="30"/>
      <c r="C110" s="30"/>
      <c r="D110" s="30"/>
      <c r="E110" s="44"/>
      <c r="F110" s="42"/>
      <c r="G110" s="42"/>
      <c r="H110" s="43"/>
    </row>
    <row r="111" s="22" customFormat="1" ht="72" customHeight="1" spans="1:8">
      <c r="A111" s="40"/>
      <c r="B111" s="30"/>
      <c r="C111" s="30"/>
      <c r="D111" s="30"/>
      <c r="E111" s="44"/>
      <c r="F111" s="42"/>
      <c r="G111" s="42"/>
      <c r="H111" s="43"/>
    </row>
    <row r="112" s="22" customFormat="1" ht="84" customHeight="1" spans="1:8">
      <c r="A112" s="40"/>
      <c r="B112" s="30"/>
      <c r="C112" s="30"/>
      <c r="D112" s="30"/>
      <c r="E112" s="44"/>
      <c r="F112" s="42"/>
      <c r="G112" s="42"/>
      <c r="H112" s="43"/>
    </row>
    <row r="113" s="22" customFormat="1" ht="81.95" customHeight="1" spans="1:8">
      <c r="A113" s="40"/>
      <c r="B113" s="30"/>
      <c r="C113" s="30"/>
      <c r="D113" s="30"/>
      <c r="E113" s="44"/>
      <c r="F113" s="42"/>
      <c r="G113" s="42"/>
      <c r="H113" s="43"/>
    </row>
    <row r="114" s="22" customFormat="1" ht="75" customHeight="1" spans="1:8">
      <c r="A114" s="40"/>
      <c r="B114" s="30"/>
      <c r="C114" s="30"/>
      <c r="D114" s="30"/>
      <c r="E114" s="44"/>
      <c r="F114" s="42"/>
      <c r="G114" s="42"/>
      <c r="H114" s="43"/>
    </row>
    <row r="115" s="20" customFormat="1" spans="1:8">
      <c r="A115" s="23"/>
      <c r="B115" s="47"/>
      <c r="C115" s="47"/>
      <c r="D115" s="47"/>
      <c r="E115" s="47"/>
      <c r="F115" s="47"/>
      <c r="G115" s="47"/>
      <c r="H115" s="47"/>
    </row>
  </sheetData>
  <dataValidations count="1">
    <dataValidation type="list" allowBlank="1" showInputMessage="1" showErrorMessage="1" sqref="C2 C95 C4:C25 C27:C89 C91:C94 C96:C114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193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194</v>
      </c>
      <c r="C5" s="10" t="s">
        <v>195</v>
      </c>
      <c r="D5" s="10" t="s">
        <v>196</v>
      </c>
      <c r="E5" s="10" t="s">
        <v>197</v>
      </c>
      <c r="F5" s="10" t="s">
        <v>198</v>
      </c>
      <c r="G5" s="10" t="s">
        <v>199</v>
      </c>
      <c r="H5" s="10" t="s">
        <v>200</v>
      </c>
    </row>
    <row r="6" s="1" customFormat="1" spans="2:8">
      <c r="B6" s="11" t="s">
        <v>201</v>
      </c>
      <c r="C6" s="12" t="s">
        <v>202</v>
      </c>
      <c r="D6" s="12" t="s">
        <v>202</v>
      </c>
      <c r="E6" s="12" t="s">
        <v>202</v>
      </c>
      <c r="F6" s="12" t="s">
        <v>203</v>
      </c>
      <c r="G6" s="12" t="s">
        <v>202</v>
      </c>
      <c r="H6" s="12" t="s">
        <v>202</v>
      </c>
    </row>
    <row r="7" s="1" customFormat="1" ht="30" spans="2:8">
      <c r="B7" s="13" t="s">
        <v>204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205</v>
      </c>
      <c r="C8" s="14"/>
      <c r="D8" s="14"/>
      <c r="E8" s="14"/>
      <c r="F8" s="14"/>
      <c r="G8" s="14"/>
      <c r="H8" s="14"/>
    </row>
    <row r="9" s="1" customFormat="1" spans="2:8">
      <c r="B9" s="9" t="s">
        <v>206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207</v>
      </c>
    </row>
    <row r="17" s="1" customFormat="1"/>
    <row r="18" s="1" customFormat="1" spans="2:7">
      <c r="B18" s="19" t="s">
        <v>208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F35" sqref="F35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135</v>
      </c>
    </row>
    <row r="3" ht="22.5" spans="2:7">
      <c r="B3" s="5" t="s">
        <v>209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2024-08-16T08:50:34Z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