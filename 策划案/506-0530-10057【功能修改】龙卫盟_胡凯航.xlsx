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3"/>
  </bookViews>
  <sheets>
    <sheet name="日志" sheetId="1" r:id="rId1"/>
    <sheet name="设计思路" sheetId="2" r:id="rId2"/>
    <sheet name="功能设计" sheetId="3" r:id="rId3"/>
    <sheet name="基础规则" sheetId="4" r:id="rId4"/>
    <sheet name="参考界面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5142F8A849EC42CDB34EF9E462A363A9" descr="e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5325" y="1019175"/>
          <a:ext cx="10058400" cy="7251065"/>
        </a:xfrm>
        <a:prstGeom prst="rect">
          <a:avLst/>
        </a:prstGeom>
      </xdr:spPr>
    </xdr:pic>
    <etc:extObjData etc:type="ECB019B1-382A-4266-B25C-5B523AA43C14" etc:data="ewoJIkZpbGVJZCIgOiAiMzAwMzYyMDQ5MTAzIiwKCSJHcm91cElkIiA6ICIxOTkyNjA3MDYiLAoJIkltYWdlIiA6ICJpVkJPUncwS0dnb0FBQUFOU1VoRVVnQUFCS0lBQUFOWENBWUFBQUFHblBldUFBQUFBWE5TUjBJQXJzNGM2UUFBSUFCSlJFRlVlSnpzM1hsY2xPWCsvL0gzUFRBc0NvbzdLaWFWdUdQUWdsdWFTeTQvUzNOSnpVcXRqcm52eTFIenBHaVorUTAxUmZPNGRGeFNNYmZzbExhNXB1YVd1U1ZwbU10eER4Y1FCSVNCK2YxQlRoRWd1TjBEK25vK0hqNE9jOS9YZmMxbnFPNXorNTVya1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lEN25lSHNBZ0FBQUFBQWVORFpFOWZablYwRHpIZnBkTlIvMDVMVFhpbFpyVSs4czJzeGk4WFpCUUFBQUFBQUFEeUlrcTVkYlNGWGUvaXBRNU9MT3JzV3N4QkVBUUFBQUFBQU9JZHJjbExDeSs1V2o5bk9Mc1FzQkZFQUFBQUFBQURPWXJlN0pTZkV0YnNZTmZQejN3L044SEoyT2ZjYVFSUUFBQUFBQUlDVFBTalQ5QWlpQUFBQUFBQUFuTytCbUtaSEVBVUFBQUFBQUpBWFBBRFQ5QWlpQUFBQUFBQUE4cEQ3ZVpvZVFSUUFBQUFBQUVEZWN0OU8weU9JQWdBQUFBQUF5R3Z1MDJsNkJGRUFBQUFBQUFCNTFQMDJUWThnQ2dBQUFBQUFJTys2cjZicEVVUUJBQUFBQUFEa1pmZlJORDJDS0FBQUFBQUFnSHpnZnBpbVJ4QUZBQUFBQUFDUVArVDdhWG9FVVFBQUFBQUFBUGxGUHArbVJ4QUZBQUFBQUFDUXorVFhhWG9FVVFBQUFBQUFBUGxQdnB5bVJ4QUZBQUFBQUFDUUgrWERhWG9FVVFBQUFBQUFBUGxZZnBxbVJ4QUZBQUFBQUFDUXYrV2JhWG9FVVFBQUFBQUFBUGxkUHBtbVJ4QUZBQUFBQUFCd244anIwL1FJb2dBQUFBQUFBTzRmZVhxYW51SHNBZ0FBQUFBQWVORFpFOWZablYwRDdqK0c1N041THZkaFJCUUFBQUFBQUFCTVFSQUZBQUFBQUFBQVV4QkVBUUFBQUFBQXdCUUVVUUFBQUFBQUFEQUZRUlFBQUFBQUFBQk1RUkFGQUFBQUFBQUFVeEJFQVFBQUFBQUF3QlN1emk0QXlLdktQRnE5bkp2VjlWRm4xNEg4Ni9yMTY4ZlBIZi9scExQckFBQWd0M2ord1ozaStRZEFUZ3huRndEa1JmNytRZjd5c00rVG9jck9yZ1g1MnYrVWFIUThjV0xmQ1djWEFnQkFUbmord1YzQzg4OXRzaWV1c3p1N0J0eC9ETTluODF6dXc0Z29JQ3NlOHBlaHlvWU0zd0tlbm5KeGRYRjJSY2hIVW0ycFNreEtVcHJkN2lFUCtVdmlRUXdBa1BmeC9JTTd3UE1QZ053aWlBSnVvb0NucHdiMzc2T3FWU281dXhUa0k1Ry9IRkg0ek5tS3VYclYyYVVBQUhETGVQN0I3ZUQ1QjBCdUVVUUJOK0hpNnFLcVZTcXBWc2lUemk0RitZelZhblYyQ1FBQTNCYWVmM0M3ZVA0QmtCdnNtZ2NBQUFBQUFBQlRFRVFCQUFBQUFBREFGQVJSQUFBQUFBQUFNQVZCRkFBQUFBQUFBRXhCRUFVQUFBQUFBQUJURUVRQkFBQUFBQURBRkFSUkFBQUFBQUFBTUFWQkZBQUFBQUFBQUV4QkVBVUFBQUFBQUFCVEVFUUJBQUFBQUFEQUZBUlJBQUFBQUFBQU1BVkJGQUFBQUFBQUFFeEJFQVVBQUFBQUFBQlRFRVFCQUFBQUFBREFGQVJSQUFBQUFBQUFNQVZCRkFBQUFBQUFBRXhCRUFVQUFBRGd2clIyN1ZwZHVYTEYyV1ZJa2hJU0VuVHg0c1didG9tTmpWVk1UTXhOMnh3OGVGRERoZzFUWEZ4Y2h1TmZmZldWcGt5Wm9yUzB0RHV1RlFEdUpWZG5Gd0FBQUFBQXFhbXBtY0tWckhoNGVNakR3eVBIZHBHUmtYcjc3YmRWczJaTlRaOCtYUlpMN3I2RFAzUG1qQklURTNQVjl1OTErZm41Wlh0K3hZb1ZtajkvdmpaczJKQnRtd2tUSnVqYXRXdWFPbldxTGx5NG9OS2xTMmRxYytIQ0JXM1lzRUhEaHcrWHQ3ZTM0L2p5NWN0bHQ5dHovVGtCd0ZrSW9nQUFBQUNZWXRTb1VkcStmWHVtNDg4ODg0eGVlZVVWZGV6WU1jYyt1bmZ2cmg0OWV1VFlybXJWcW5ydHRkZTBZc1VLUlVWRnFWS2xTcm1xTVRRMFZELzk5Rk91MnY1VjllclZ0V0RCZ2x1Kzd1OE13OURxMWFzMVk4WU1MVnEweUJGR1RadzRVWTBiTjg3eW1uUG56bW4vL3YzNjV6Ly9lY2Z2RHdEM0drRVVBQUFBQUZNMGJkcFUxYXBWMDVrelo3UjA2Vks5L1BMTEtsMjZ0TXFWS3lkZlgxOU5uRGd4eHo0ZWVlUVJ4ODhEQnc3VTd0MjdiOXJlWnJQcGpUZmV5UFo4clZxMU5HblNKTWZyME5EUUxFZEVuVDE3Vm9NR0RkTGd3WU5WczJiTlRPZi9Qa3FyYmR1MlNrMU5kYnlPaTR2VDFhdFg5Y0lMTDJSbzE2dFhMelZ2M3R6eDJtS3hxSFhyMXZyMjIyODFlUEJnelpzM1QrN3U3bHExYXBVcVZhb2tMeSt2VE8vOTJXZWZTWklLRkNpZ0gzNzRJZHZQV3ExYU5SVXVYRGpiOHdCZ0JvSW9BQUFBQUtaNDVwbG5KRWw3OSs3VjBxVkwxYlJwVXdVR0Jqck9QL3ZzczdmVVgxSlNrbng4ZkhJMWtpb3JFUkVSdW43OWVvWmpaY3VXemJLdHEydjZYNTFLbFNxbENoVXE1TmgzMTY1ZE02elh0R1BIRG0zYnRrMnZ2ZlphaG5hVksxZDIvR3kzMjJVWWhpd1dpMGFQSHEzdnYvOWU3dTd1dW5EaGdtdzJtOHFXTGF2WTJOZ00xOXRzTm4zKytlZVMwa08wbTVrM2I1NXExS2lSWSswQWNDOFJSQUVBQUFESXQ0b1hMNjR1WGJyYzFyWGZmdnV0NCtmOSsvZnJ6Smt6MmJhOXNkRDQzcjE3bFp5Y25HMjcwcVZMS3pnNE9OUElwN2k0T08zZXZWdHQyclRKY1B6Y3VYTTZlUENnSkNrbUprYXBxYW1PMTlXcVZWTk1USXlPSFRzbVNSb3dZSURzZHJzazZZVVhYcENycTZ1R0RCbWlpeGN2S2pRMFZBa0pDZnEvLy9zL1RaczJUUWtKQ1JveFlvVGVmdnR0SlNZbUtpd3NUQVVLRk1qdHJ3WUE3aG1DS0FBQUFBRDVVcDgrZlpTYW1xcXZ2dnBLMGRIUnQzU3RqNCtQaGd3WklxdlZLa2xhdlhxMXZ2cnFxNXRlWTdWYXRYTGxTcTFjdVRMYk5vMGFOVkp3Y0xCT25UcWxzMmZQT282Zk9uVktOcHROTzNmdWRCeXpXQ3phdkhteklpSWlNdlR4MTFGVC8vclh2M1Rod2dVVkxWcFViNzMxbGc0Y09LQ0ZDeGRxK1BEaDh2THkwb3daTXhRWUdLaVdMVnRxNWNxVjh2RHdVSjA2ZGZUamp6OUtTcDk2ZU9qUUlVbFN3WUlGYy9uYkFZQjdoeUFLQUFBQWdDa1NFaEtVbkp5cytQaDRTVko4Zkx4aVltSlVvRUFCclYrLzNqSGFKeWVQUHZxb0tsV3E1SmpXTjNmdVhFVkdSbVpvRXhzYks4TXdWS2hRb1N6N2VQamhoL1h4eHg4N1hvOFpNMFpqeG95NW5ZK1ZwYzgrKzB3TEZ5NlV1N3Q3aHVPREJ3K1dKTWY2VWYvOTczL1ZzbVZMU2RMNzc3OHZTUm94WW9TanZhK3Zyd1lPSEtqSEgzOWNEUnMyZEZ4WHAwNGRiZHEwU1NkT25OQ01HVE1rU1ljUEgxYmx5cFZsR0liT25Uc25xOVdxa2lWTE90YlJZa1FVZ0x5QUlBb0FBQUNBS2NMQ3doenJHVWxTMzc1OUphV1Arbm52dmZjeXJLbDBNMTI3ZHMyd0M5NzA2ZE1kUDErNmRFbWhvYUhhdVhPbkprMmFwSHIxNm1XNlBqVTFWVkZSVVZuMi9mUFBQenVtd3QwS2YzLy9UT3N2VmE1Y1dlKy8vNzQrK3VnanZmUE9PM0p4Y1ZGNGVMZ3FWS2dndTkydWNlUEdxV1RKa2lwWnNxU2pydGpZMkF5ZjdmTGx5enB3NElCR2pScVY2VDE5ZlgzVnRtMWIxYXBWUzVLMFo4OGVOV2pRUUpMMDIyKy82ZUdISDViRlluRXN2czZJS0FCNUFVRVVBQUFBQUZOMDZ0UkpEUnMyMUxGanh6UnQyalFOSERoUS92NytDZ2dJME1hTkcyVzMyOVdwVXljRkJnYnFyYmZla2lSTm5UcFYzMzc3cmRhc1dlUG94ODNOTFZQZmNYRnhpb2lJMEtKRmkxU3VYRGtaaHFGZHUzYnA2YWVmbG1FWWpuYTdkKzlXV0ZpWVRwNDhxVldyVnFsTW1USVordm42NjY4VkVSR1JhUmU4bTBsS1NsTGJ0bTJ6WEFpOFZLbFNpb3lNMUpJbFMxU25UaDB0V3JSSWl4WXR5aklJaTQyTjFaa3paNVNZbUNoUFQwOUpVdEdpUlRWaHdnUTkvdmpqbWRvLzhzZ2pxbHUzcmlUcDJMRmpPbm55cE9OMVpHU2tJOUM2ZHUyYXJGYXJZOEYxQUhBbTdrUUFBQUFBVEJFUUVLQ0FnQUI1ZVhsSmtvS0NnakxzbWlkSnljbko4dkx5a3JlM3Q2VDBkWmtNdzNDOC9xdVltQmp0MmJOSDY5YXQwNlpObTFTMGFGRU5IanhZRFJvMFVNK2VQYlZreVJJVkxGaFFQWHYyMVA3OSt6Vm56aHh0Mzc1ZElTRWhDZzBOelJSQzNlRGg0YUZ0MjdabE9CWWJHK3VZK2xhNGNPRU01eG8xYXBUdFowNUpTVkczYnQwVUh4K3ZzMmZQcWxPblRpcFNwRWlXYldOaVltUzMyM1g0OEdFRkJ3YzdqamR0MnRUeDg0MVJZNE1IRDlhaFE0ZTBaczBhK2ZyNmF0bXlaU3BWcXBTQ2c0T1ZsSlNrZ3djUDZ2bm5uNWVVSGtReEdncEFYa0VRQlFBQUFDRFB1SHIxcWlPb3VwbjQrSGkxYjk5ZWx5OWZWbzBhTlRScTFDZzFhOVpNdi8zMm0xNTc3VFdscEtTb1hidDJtanQzcm5idjNxMTkrL1pKU2w4THFsV3JWcmRjMTRFREJ6Unc0RURObVRNbnk5RkoyVm14WW9XbVRwMmE0ZGpYWDMrdC92MzdaemdXSFIydCtQaDRlWGg0YVAvKy9SbUNxT3ZYcjJ2YnRtMzYrdXV2dFdYTEZrbnBnZDJnUVlOVXVIQmhIVDkrWEo5OTlwa0dEeDRzaThXaTc3Ly9YaWtwS2FwWnM2WWtnaWdBZVl2RjJRVUFBQUFBZ0NSZHVYSkZLU2twS2xHaVJJNXR2Ynk4TkgzNmRLMVpzMGJ6NXMxVDNicDFGUjRlcnM2ZE82dFVxVkphdUhDaG5uamlDZG50ZHAwNWMwWWZmZlNSU3BVcXBRMGJOdHhXYlFrSkNaTGttREtYV3gwNmRORDY5ZXZWcFVzWEJRUUVhUDM2OVZxMmJGbW1kai8vL0xNc0ZvdWVmLzU1N2RxMUsxTWZ3NFlOMDQ0ZE8xUzVjbVZKNmV0aXZmcnFxeklNUTZOR2pWSkFRSURhdDI4dlNWcTJiSmtDQXdQbDYrc3JLVDNjSTRnQ2tGY1FSQUc0WTRtSmlVcEpTY255WEd4c3JKS1NraVNscjU4UUV4T1RZMytwcWFtS2pJelVsU3RYc2p4Ly92eDU3ZDI3OS9ZTEJnQUFlY2FWSzFjY3U3b2RPWEpFVXZxT2Rya1JFQkNnYytmT2FmejQ4V3JSb29XKytlWWJ2ZjMyMjVvMWE1YSsrKzQ3alJvMVNqNCtQa3BPVGxiTm1qWFZ2MzkvYmRteVJVdVdMTG5sT3MrY09TTkpLbDI2OUMxZEZ4MGRyVk9uVGlrMk5sWXBLU2s2ZGVxVVRwNDhLWnZObHFIZHp6Ly9yRWNmZlZSMTY5YlZuajE3SERzTFN1bFQvOGFNR2FOdnYvMVdyN3p5aXVPNHpXYlRxRkdqZE96WU1ZMGFOVW9XaTBWYnRtelIzcjE3MWJWclYwZTd1TGc0Z2lnQWVRWkJGSkFQcGFhbTZ2ang0eG1PWGJseVJZc1hMOWIxNjlkdnU5OWx5NWJwaVNlZTBIUFBQZWZZR2pnM0dqWnNxSmt6WjJaNXJsV3JWbHF3WUlFa0tTSWlRazJhTk1teHY0U0VCSFh1M0ZuZmZ2dHRsdWUvK09JTGRldld6Ykhqelp3NWMzSzl5dzRBQUhBdXU5MnVjK2ZPU1VxZkp0ZWtTUk9GaDRkTGtqWnYzaXlMeGFLcVZhdG1lLzN1M2J1MWFORWlKU1FrcUYyN2R1cldyWnNPSERpZ29VT0g2b3N2dmxDZE9uVTBaTWdRZmZEQkIrcmV2YnNHREJpZzJOaFkvZjc3NzJyZXZMbWVmLzU1VFpvMFNZc1hMNzZsdXJkdTNhcUNCUXM2ZHFETHJibHo1NnBuejU1YXMyYU5UcDQ4cVo0OWU2cG56NTY2ZXZWcWh0L0ordlhyOWN3enoraXBwNTZTcTZ1cnZ2dnVPOGY1QVFNR3FGV3JWcGtXVUE4UEQ5Zm16WnYxM252dnFVcVZLcnA4K2JMZWZmZGRCUVlHcW1IRGhvNTJzYkd4dVpydUNPUjE0eVlzVjY4QnMzUGRQakh4dW43ODZiZE1mMDcrTDFxSmlkZDE1TmN6Ti8zenYxUFI5L0RUUExoWUl3ckloOWFzV2FPeFk4ZnF2ZmZlVTdObXpTUkpVVkZSbWp4NXNxeFdxenAwNkhETGZXN2Z2bDFoWVdFS0NBalEwYU5IRlJZV3B1SERoOS90MHU4S2QzZDNTZW1MZng0N2RreHo1ODdWdm4zN05INzhlUG40K0RpNU9nQUFrSjEzMzMxWEd6ZHVkSXlRTGxTb2tQcjA2YU9HRFJ2cS9Qbnordnp6ejFXclZxMU1pNEgvMWRHalJ6Vmx5aFMxYnQxYUkwZU9WTEZpeGZUb280L3EyclZyaW9pSTBMeDU4K1R0N2EwWk0yYW9WcTFhMnJoeG82VDBOYVZLbGl5cFVhTkc2ZEtsUzVvOGViSjI3TmloQVFNR3FFS0ZDbzcrczNyL0ZTdFdhUC8rL1pLa2xpMWI2cW1ubnRJTEw3eWdoZzBieXQzZFhlUEhqMWZ4NHNXenJIZnMyTEVhTzNhc1pzMmFwUzFidG1qUm9rV1NwTFZyMXpyYTdOcTFTNmRPblZMejVzM2w2ZW1wcDU5K1dwOSsrcW5hdEdsejA5OW5wMDZkVktsU0pUVnExRWdKQ1FrYU1tU0lFaElTOU82NzcyWm9GeE1UbzRjZWV1aW1mZVUxL3Y3K0hvVUxGNjYvZi8vK3JMK1pSSjV5OGVKVkxWbTI5YmF2YjlNcVJPWDhzdjV2Nks5K08zNUJKMDcrbnV0K3o1eTlyQjc5Wm1VNjN2YUZtbXJSTEZqZGV2LzdwdGRYci9hUUZzenVtK3YzUSs0UVJBSDVURXBLaW1iUG5xMVNwVXFwUVlNR2p1TWhJU0dxV0xHaUZpeFlvTmF0VzJlNXJYRjI5dTNicCtIRGg2dENoUXFhUFh1MlZxeFlvZkR3Y0pVb1VVSnZ2UEhHTGRjWUZ4Y25pOFdTNHhEd0V5ZE95Ti9mLzViN3YvRnRvTTFtVTdObXpWU3NXREVOR3paTXZYdjMxdUxGaXpOczBRd0FBUEtPRXlkT3FITGx5bXJZc0tFYU5HamdDRy9pNHVMVXZYdDNKU2NucTFldlhwbXUrK3RJN2JObno4ckh4MGRlWGw0S0NRbFJWRlNVd3NQRHRYTGxTcVdscGVtbGwxN1NHMis4NFhoZXVESGQ3OFpPZFc1dWJ2cnd3dzgxYWRJa0xWdTJURC84OEVPR0JjaWZmdnBwUGYzMDA1S2tpeGN2YXRhc1dWcTFhcFVDQXdNMWNlSkVmZlBOTjFxNWNxVkdqUm9sYjI5dlBmZmNjK3JRb1lQS2x5OS9TNzhMdTkzdWVHWlpzbVNKNnRXcjU1aVMrT0tMTDZwbno1N2FzR0hEVFhmazgvWDFWWXNXTFJRYkc2dkJnd2NyTWpKU0gzendnZno4L0J4dHJseTVvck5uejZwbHk1YTNWSjhUdUFZR0JucGJMQlovU2EwdEZzdnJobUdVazhTRFhUNXdKU1plbjY3Y2x1VzU1R1NiMHRMczh2Q3dabnQ5blZxVmNoVkUzYTRQeG5kV2plcmxGUk43VFIyN1RGRTV2MktPY3pPbnZxbnk1VEt2U3pjNS9FdWQvejNuWlVWdzZ3aWlnSHhtN3R5NU9uZnVuTWFNR2VNWUdYVERtMisrcVdIRGhtbmF0R2thT25Sb3J2cmJ2bjI3aGc0ZHFsS2xTbW42OU9ueTh2TFNhNis5cHVQSGoydkdqQm1Lam83VzBLRkQ1ZUxpa3VHNitQaDR4L1JBdTkydTZPaG9IVHg0VUZhclZiMTY5VktIRGgyeWZKQzg0ZWpSbytyWXNhT0dEUnVtbDE1NktjczJQLzMwVTRiWDVjcVZVNTA2ZFJ3UGxzbkp5WktrSjU5OFVnc1hMdFNsUzVjSW9RQUF5TU5telpxVjZaa2lLaXBLdzRjUDE4bVRKelZnd0lCTTAvS0tGaTJxeE1SRVRaNDhXYVZLbGRMYXRXdFZvMFlOcGFTa3FIUG56b3FLaWxMSmtpWDE4c3N2cTFPblRscTZkS2tXTFZva2QzZDNuVDkvWGl0WHJsVDE2dFVkUVpRa3VicTZhdmp3NFdyUm9vVU9IanlZWVJlODA2ZFBhOCtlUGRxOGViTzJiZHNtbTgybTFxMWJhK2pRb2ZMMDlGU1hMbDNVdVhObjdkaXhROHVYTDllbm4zNnFwVXVYcW5idDJ1clVxWlBxMUtsejArZVJIMy84VVRFeE1mcnFxNjlVcEVnUnJWMjdWdHUzYjNlTWxKS2twNTU2U3RXclYxZFlXSmllZlBKSkZTcFVLTnYramg4L3JuNzkraWs2T2xyang0OTNCR1pGaWhTUmk0dUwxcTlmTDd2ZHJ2cjE2K2Y2bjVPWkhudnNzWXFHWWRTeFdDeVAyZTMybW9aaEJFdnl5UEZDNUNrQkZjcG8yL3J4V1o3cjBXK1dMdndlbzlXZk9tKzJSYUZDQlZTOGVDSDlzRE05bUg2MllRMWQrQ05rS2xyRVM2VktaWjVWY2JQZ0RIZUdJQXJJUnc0ZE9xUjU4K2JweVNlZnpQSmJyVWFOR3FsSmt5YUtpSWhRelpvMVZhOWV2WnYydDNUcFVrMlpNa1VWS2xUUTlPblRNenlnalJrelJtNXVibHEyYkptT0h6K3UwYU5IcTB5Wk1vN3podzhmVm84ZVBSeXYxNjVkcTdWcjE2cDI3ZHFxWGJ1MmxpNWRxaTVkdW1UNzNyTm56NWEzdDdmKzMvLzdmOW0yMmJScGs3WnUvWE9JYjZOR2pUSUVVWDlkRDZ0a3laS1MwaDltQXdJQ2J2cTVBUUNBYy93OWhEcDE2cFJlZmZWVnBhYW1hdENnUVhyMTFWY3pYZE9tVFJ0dDNicFZFUkVSU2t0TFUvbnk1ZFc3ZDI5WnJWWjE2ZEpGUllzV1ZVaElpQ3lXOU9WdkR4dzRvQjkrK0VGU2V1QlVyVm8xalJvMUtzdDZBZ01ERlJnWUtFbGF0V3FWcGsyYnByaTRPRW5wMHdaYnRXcWxEaDA2WkhxMk1BekQ4Y3h6NHNRSkxWcTBTRjkrK2FXMmI5K3U0Y09IWjdsTXdzTVBQNnlrcENSdDI3Wk55NWN2VjZGQ2hkU3JWeTh0V0xCQVBYdjJWTVdLRlRPMEh6bHlwTjUvLzMzSDU4cE8wYUpGVmJwMGFVMllNRUdCZ1lHeTJXeGF0V3FWWXpGMFgxOWZoWWFHWnVyZm1hcFdyZXBsdFZxZnMxZ3NMeHVHVWQxdXQ1ZVU1SFVqd1B2cmFESGtmN0ZYRTFTc3FMZXp5NUFrYmRweVNGV3IrS2xNNmFLT0lHcm43cU02Y1RMeldsRG56bWU5Y1JMdUhFRVVrRTljdm54WkkwYU1rTHU3dTBKRFE3UDlQK2NSSTBabzc5NjlHakZpaEtaTW1hS1FrSkJNYldKall6VnUzRGh0MnJSSklTRWgrdUNERHpJdFlHbXhXRFJxMUNpVktGRkNzMmZQVnZ2MjdkV3paMDkxN05oUmJtNXVDZ29LMHFaTm15UkpUWm8wVWZ2MjdkVzllM2U1dXJycXlKRWordWFiYjdSbXpab3NhOXk5ZTdmV3IxK3ZvVU9IM25RTmlNR0RCNnRqeDQ2UzBvZkdIenQyVEY5KythVmpaNTB4WThZb1BqNWVGeTVjY0t3MUVSQVFvS1ZMbCtidzJ3UUFBSGxCdVhMbDFLZFBIejMrK09PcVhyMTZsbTJLRnkvdTJQams3MXEwYUpIcFdIaDR1T3gydTJ3Mm02elczSTlvYU5La2lRNGVQS2hISG5sRVFVRkJxbHExYXFiZ0xDdisvdjc2MTcvK3BWNjlldW56eno5WDY5YXRKVW45Ky9mUDBLNXAwNlpxMnJTcHBQVEZ4MjlvMXF5WlhGMHovN1dzY3VYSyt2ampqelBWOE95enoyclBuajJPMTRVTEY5YWNPWE1jcjExZFhiVno1MDVIRUpWVjMyYno4L1B6TEZHaWhGZHFhdXFqTGk0dVhTVzlhQmhHY1NrOWRMcmh4cytFVVBlWDM2TmpWVHZrN2dhaENRblpiOUJrc1JqeThNaThURWxTVXJKMjdqNnFIdi9JdUhuU2pObGZLNnQvNVZKU1VsV2xzbC9tRTdoanpyOHJBY2hSVWxLU0Jnd1lvTE5uejJyQ2hBazMzVGJZeDhkSE0yYk0wSnR2dnFrQkF3Ym92ZmZlYyt5YWtwYVdwczgrKzB3ZmZmU1JZbUppVkt0V0xUVnYzbHpmZi85OXR2MzUrZm1wYmR1MjJycDFxejc4OEVOOThza242dGl4b3pwMDZDQnY3eisvMmJCYXJZN1hRVUZCcWxLbGlpNWR1cFJsbnp0MjdKQy92Ny9hdDIrZjY5L0J4bzBiOWY3Nzc4dlYxZFV4UE4zVjFWVWhJU0VxVmFxVWZIMTlIZjhMQUFEeWo1dU5vTDVkaG1IY1VnZ2xTZDdlM2hvelpzeHR2MmV4WXNWdWEyM05tNjNybVpzZ0xEdDVJWUFLQ2dwNnlqQ00ybmE3UGNRd2pDZGNYRndlTVF6RFRjb1lRTjJRVlFBVkZCVFVJTk5CNUJ1WEw4Y3BOalpCL3VWTDNyVSs0K09UVksvSjI5bWVmeXpRWC8vNWQrOU14N2Z2L0ZWSlNjbHEzQ0JqNkwxd1RsOVZlRFR6MzYvR3ZQdXBUdnlQWGZQdUJlZmZuUURjVkh4OHZBWU5HcVRJeUVqMTZOSEQ4VTJhbEQ0TnpXYXpxVXFWS2htdXVUSFZybGV2WGhvNmRLamF0bTJyUVlNR0tUdzhYTXVXTFZPcFVxVTBiZG8wN2RxMVM2R2hvVG5XWUxWYXRXN2RPczJkTzFkTGx5N1ZraVZMY3R6RlpkNjhlYkphclZtT1R1clhyNS9lZU9PTlczcEFldTY1NTlTb1VTTVZMVnBVcDA2ZFVwczJiZFNwVTZjTTB3OTM3ZHFsb2tXTDVycFBBQUFBM0YyR1hZYW5tNTRMQ2dvYWJSaEdnS1FTZjRSUGhtRVltUUtvbkVZL1dTeVdpSHRYTGU2R2NST1c2NXQxKzdJOGQrTWY5OGNMMW12K29vMDM3YWRXU0VWTm10QTF4L2R6YzNQVlA3cmVaQkgvTE5aN2txU3QydytyU0pHQ0tsV1NYYmFkalNBS3lNTnU3Q0R6NjYrL3FrT0hEdXJldlh1RzgrUEhqOWZCZ3djVkVSR1JhZDUvdFdyVnRIRGhRZzBaTWtTclZxMlNyNit2dW5YckpnOFBEM1hyMWswRkN4WlVTRWhJaG5XZXNtTVloanc5UFRWdzRFQjE2TkJCNTgrZnp6THdPWGZ1bkM1Y3VLQ2dvQ0JaclZZbEpDVElack5sZXNDdzJXeFo3cWgzWTAyRytQaDRTZWxyUU4wNDV1Ym1wbUxGMG5lM3VMSERUblQwbjk5UXJGbXpScU5IajlaNzc3Mm5aczJhNWZpWkFBQUFjRzlZWkhleldGd0tTL0tVWkxrUlBtVTFDaW9uZHJ1ZGhjdnp1Rm9oRmVWVE9PdmRzbi9ZZVVSUlI4K3BVL3VuY3d3ZC9jdG4zcmt1SzI1dXJ1cjIyck8zWEdlSHRyWDE1VmQ3Tk8rVGpYcno5VCt2LzJIbkVmMTIvRUttOW1mT1hyN2w5MER1RUVRQmVaaVhsNWNDQXdOVnAwNGQ5ZXZYTDhPNURSczI2T0RCZzJyWnNtVzJpMC82Ky90cjRjS0ZXclJva1Y1NzdUVzV1TGhrV0pQQWFyWGU4ckQxTW1YS1pGaTAvTWlSSTdMYjdWcStmTGtXTEZpZ0YxOThVVUZCUWZyMTExODFmUGh3SlNVbE9SWVhsOUtuQjc3eXlpdDY2NjIzOU5oamp6bU8yMncyTldpUWNlVDExS2xUTlhYcVZFbFMxNjVkSFdzdEZDaFFRSVVMRjlidnYvOHVTWXFKaWRIa3laUDF4Qk5QWkJneEJnQUFBSFBaRGRuams0M1BUaHo0YWNEZnArWkplc1F3RExkYldSZkticmZmZkJqKy9lWG1RNGJ5cUthTkgxUFR4bzlsT3A2YW1xcXZ2dDJyaWdHbE5hRFBjMDZvTEtOS0ZjdnE1UTVQYTk0bkcvVmk2MXFPNC8rZSs1MGs2ZnIxbEQvV2xrci9kNUkxb3U0ZGdpZ2dEek1NUTIrOTlWYW00OWV2WDllSEgzNm93b1VMYStEQWdUZnRvMkRCZ2hsR1BVVkVSTnpXdDFGL1ZhTkdEY2VDNXhjdlhwU1VQaDJ3YTlldXFsdTNycFlzV2FKcDA2WTVSazM1K0dRYy9wcWNuS3czM25oRHJWdTNWdi8rL1RNc1dQN1NTeS9wMldjemZzT1IxV2NzWDc2OGpoNDlxcFNVRkEwYk5rekp5Y2thTzNZc2kxc0NBQURrRWZ2Mjdkc3RhWGVGQ2hVS0ZTaFFvSmhoR0FFdUxpNmRKTFV5REtPb2xQTmk1ZnYyN2R0a2F0RzRhN1p0UDZMZm8yUFY5b1dha3FSLzlQcElWU3I3YWVpQVZrNnJxVU83T2xxNFpMUFdiVHlnQ28rbXJ5MjdjRTVmbGZNcnJoWnQzMVAzMTU5Vnh4ZnJTcEoralRxcmc0ZitwL0NaYTlXblIvTWNkN0JFN2hGRUFmblEvUG56ZGViTUdZMFpNOFlSOHR3WWxlVGo0M1BUVVVIVHAwOVhhbXBxcHVNMm0wMTJ1MTJ1cnE0NWhqazlldlJReFlvVlZiVnFWVFZ2M2x5alI0OVd6Wm8xMWJoeFkvWHUzVnMvL3ZpakdqWnNxQmRmZkZGOSt2U1JuOStmM3lSWUxCWkZSRVJvOHVUSldybHlwZXgydTBhUEh1MDRYN1pzV1FVSEIyZDR2NndXNnF4VXFaSzJiZHVtME5CUTdkKy9YNU1tVGJycEl1NEFBQUM1OWMwMzMrajY5ZXgzNWNwS3ZYcjFWS1JJa1h0VVVmNTI5T2pScTVLdVNqb3U2ZHRLbFNwNUZ5aFFvSTNkYm4vZE1Jd3FobUVVbHVSeDR4blVicmZ6NVdJK1o3ZmJ0WERKWnJtNnV1aUY1NTZTSkowNWQxa2xTMlMvWTdZWlN2c1drYmUzcC81MytxSWppSklrZDNlcjJyYXFxZjk4c2tFdG1qMnVnZ1hkdFdmdk1VMmJ1VlpsU2hkVjJ4ZHFxbXlaWWs2cy9QNUNFQVhrTTBlUEh0Vi8vdk1mMWE1ZFc2MWFaZncyWWNPR0RmcjU1NTlWcVZJbGxTOWZQc3ZydDIzYmx1blk2ZE9uOWNvcnI4amYzMSt6WjgrV3U3dDdybXFwV3pmOTI0SWJPOHk0dUxpb2J0MjZldVo4S0U5T0FBQWdBRWxFUVZTWlovVHl5eTlyNmRLbGNuVjF6YlNZdW9lSGg5NTY2eTAxYk5ndzI2MmFjeEljSEt6bHk1ZnI3Tm16ZXVlZGR4eUxsdHRzdGp5eFN3d0FBTWkvSms2Y3FHdlhydVhxbVNJdExVM0p5Y21hUDM4K1FWUXVIVGx5SkU3U1Fra0xhOVNvVWNrd2pEb3VMaTQxN0haN1RjTXdnZzNEWUYyb2ZHNzVxdTNhdS8rNE9yU3JvNUlsY3c2ZnpwMi9JdDlTUHZjOGdMVFpVcFdTWWxOeXNpM1R1WmM3UEszVlgrN1N5REdMZFRVdVVWRkh6K24xemczMWV1ZUdzbHI1KzhYZHhHOFR5RWVTazVNMWV2Um9lWGw1YWV6WXNSbk9HWWFoME5CUWRlellVY09IRDllQ0JRdHlGU2dsSlNWcDZOQ2g4dkx5MHVUSmt4M1hYTHg0VVNOR2pGRGZ2bjBWRkJTVTZ4ci91Z1h6NnRXckZSd2NMRTlQenl6YjFxNWRXNHNYTDFianhvMGRDNURueHUrLy82NVBQLzFVa3RTbVRSdTFhTkZDa25UbHloVzFiOTllNzd6emptclhycDNyL2dBQUFQNnVTNWN1NnRPblQ0N3R0bXpaa3VOU0NjamVnUU1IamtnNlVyVnFWVGQzZC9maWRydTlnbUVZejl2dDlwY053eWpyN1BwdzYwNmR2cWhwTTllcVdERnY5WGlqU2E2dWVYL1NaenA3N29xV0x4cHlUMnJhdlBXUTl1dzlwa08vbkZKU1VvcXFWMzBvVTVzaVJiejB6dHN2cWMrZ3VTcFV5Rk5MRnd4UytZZHl0NEE2YmcyVEhJRjhaT0xFaVRweTVJaENRME1kTzhqOWxhK3ZyNFlORzZhb3FDaE5uanc1eC81c05wdUdEeCt1OCtmUGErclVxUm42ZEhkM1YzSnlzbnIzN3EwdFc3YmNjcTBiTjI1VVZGU1VYbnp4eFp1MkN3OFAxOXExYTNQZDc3cDE2OVNwVXljZFBYcFVsU3RYMXE1ZHUyU3pwWCtqY2ZyMGFWMjVjb1VSVVFBQUFQbE1aR1JrOHQ2OWU4L3UzYnYzKzU5Kyt1bWZWNjVjcVpDYW10clMyWFhoMXZ6dlZMUzY5NTJsNUdTYjNubjdKZm40WkwyYjN0L0Z4aWJJMWZYZXhSTVd3Nks1ODlmcDBDK245RXJIZW5xdStlTVp6dHZ0ZG4yL05WSXhzZGMwWWtocnhjVWxhY3k3bityOGhTdjNyS1lIR1g5YkEvS0JoSVFFaFllSGEvWHExUW9KQ1pHWGw1ZDI3TmloeE1SRUpTVWxPZjRrSmlZcUlTRkJYbDVlV3JGaWhSbzBhSkR0eUtBYm82djI3Tm1qbVRObnFrS0ZDbzV6YVdscE1neERZOGVPMWNDQkF6Vmt5QkM5Kys2N1dhNDlaYmZiTXkxK2Z1TEVDWVdHaGlvd01GQ05HemQySERjTXc5SGVNQXhGUjBjckpTVkZaY3YrK1dYWDFLbFROV1BHakF6OUpTVWxLVFUxVlgzNzl0WDI3ZHNWRUJDZ2lSTW5LaTB0VFIwNmRORE1tVFBWcjE4Ly9mcnJyeklNSTlOVVFBQUFBT1F2SjA2Y1NKTDBwYlByUU83OUduVldmWWQ4ckV1WDRqUjZaSHZWZkNvZ3czazNxNnZpcnlWbGVlMjVDMWRVdmVwRFNrMU4xZlhybWFmTjNaQ1dsaVpKU2tqSWVRMDNkL2MvNDQ1NmRhdG9VTC9uTTV5LzhUNWZmYnRYMzIvN1JTZE8vcTRoL1Z2cXBmWlBxMlNKd25vck5FTHRYcDZrVnM4OXFjNmQ2cXRNNmFJNXZpZHloeUFLeUFlKytPSUxMVnUyVEpLMGE5Y3U3ZHExSzFNYmk4V2lBZ1VLcUdEQmdpcFJvb1JzTnB2R2poMnI1Y3VYeTl2Yk8wUGIzMzc3VFVPR0ROR3BVNmRVcEVnUmpSOC9Yb21KaWJwMjdab2ozUHE3VWFOR1NaSWpqTHB3NFlJMmJOaWdFeWRPeUdhek9SWk4zN3AxcThhTkd5ZXIxYW9KRXlaa21PZGRva1FKMmUxMnpaNDlXLzcrL283MXFxcFZxK1pvMDZKRkM5V3ZYei9EZTQ4ZVBWb3VMaTRLQ1FuUlk0ODlwdGRmZjkweDZxbGZ2MzZhT25XcVRwOCtyY09IRDZ0Njllcnk4dks2dFY4d0FBQUFnTnVTa21MVHh3czJhTjRuRzJVWTB2alFUbXJlSkRoVHV3cVArbXJyRDRjMVo5NDZsUzJUSHVyWTdYYnQzWDljRnkvR3FWcVZjdHE3LzRSNjlKdVY0M3ZXYS9KMmptM0NKLzFESlVzVXl2YjgrazBISlVtZlJIeXY1azJDTkdsQ0Z6MVVMbjBxM2pQMXFtbkY0aUg2Y1BvYUxWdjVneDU5dUpSZWJNUFNIM2NMUVJTUUQ3UnAwMGFSa1pFcVg3NjhTcFlzcWNLRkM2dFFvVUlxVktpUXZMMjlWYkJnd1V6ck1LMWV2VnJ2dlBPT1B2bmtFL1h1M1R2RHViSmx5eW9wS1VubHk1ZFhtVEpsNU8zdDdlZ3Zxejl1Ym00YU1tU0kzbjc3YlZXdFdsVitmbjY2ZHUyYXdzTENKS1h2WU5laVJRdGR2MzVkWVdGaEtsaXdvS1pNbVpKcEY3dkdqUnZyeXkrLzFNY2ZmNnpVMUZRVkxGaFFQWHIwa0orZm4xSlRVK1huNTZmZzRHQTFiTmd3dzNYUFAvKzhxbFNwb2laTk1zOHg3OUtsaXp3OFBEUi8vbnpaYkRhRmhvYmVqVjg1QUFCNHdDMWN1RkJMbGl6SnNkMk5FUnJBZ3lwMC9ESjkvZDArbGZNcnBnbGpYMUdWeW41WnRodlk1emxkdVhKTkh5OVlyNVNVUDNmeDl2THlVTE5uZzlTcGZWM0ZYazFRMzU3TjcwcGQ1UjhxcnNURTVHelB2OUt4bnFJdlh0V1EvaTFWemkvemVyV2xmWXRvNHJ1djZzelpTK3lZZDVleEp5YVFCZi9LUVExazJDTUtlWHY3emdxZm9sb2hUenE3cEZ0bXQ5djF4UmRmcUVXTEZsbXVtWlNZbUpqdEl1SlpPWC8rdkg3NTVaY01JWkhOWnBQRllwSEZZc25RenNmSFJ4NGVEKzVtSnp0Mi9haitRMFlvK3RLbEdOblY1c1RoZlp1Y1hSTUFBRG01SDU1LzdwWkdqUnFwUm8wYWF0U29VWTV0bzZLaXRHVEpFczJmUDErQmdZRW1WSmMzOGZ4ejUreUo2K3c1dDhwN3pwNjdyRFZmLzZRdUx6OGpkM2Vyczh2QjN4aWV6K2E1M0ljUlVjQjl5akFNdFdyVkt0dnp0eEpDU2VrTG9mdjYrbVk0bGxYQTlmYzJBQUFBK2MyQ0JRdms3ZTN0V0hyZ1poSVRFOVd1WGJ0TUk4R0JCMFdaMGtYMTV1dlBPcnNNNUNNRVVRQUFBQUFnNmVEQmc0cUxpOHZ5WE5XcVZlWGo0Nk9FaEFUdDI3Y3YwL216Wjg5S2twNTg4a201dWJuZDB6b0JJRDhqaUFJQUFBQUFTV0ZoWWZyNTU1K3pQUGZSUngrcFpzMmFPbnYyclByMTY1ZHRIMnZYcmxXcFVxWHVWWWtBa084UlJBRUFBQURBSCtyWHI2OXg0OFk1WGg4L2ZseXZ2LzU2cG5hVEprM1NFMDg4NFhpOWVmTm1qUmt6eHBRYUFTQS9JNGdDQUFBQWdEKzR1cnJLMjl2YjhicEFnUUpadHZQMDlNelE3a0hlcUFVQWJvVWw1eVlBQUFBQUFBREFuU09JQWdBQUFBQUFnQ21ZbWdjQUFBQUFmMGhMUzFOQ1FvTGo5ZlhyMTdOdFo3UFpNcndHQU9TTUlBb0FBQUFBL3JCcDB5YlZxMWN2eDNaOSsvWTFvUm9BdVA4UVJBRUFBQURBSDRLRGc5V3paMC9INjdObnoycnMyTEdaMmcwWk1rUlZxbFJ4dk42elo0OW16cHhwU28wQWtKOFJSQUVBQUFDQXBBVUxGbVI1dkZXclZvNmZLMVNvb0QxNzltUnFFeHdjckc3ZHV0MnoyZ0RnZnNGaTVRQUFBQUFBQURBRlFSUUFBQUFBQUFCTVFSQUZBQUFBQUFBQVV4QkVBUUFBQUFBQXdCUUVVUUFBQUFBQUFEQUZRUlFBQUFBQUFBQk1RUkFGQUFBQUFBQUFVeEJFQVFBQUFBQUF3QlFFVVFBQUFBQUFBREFGUVJRQUFBQUFBQUJNUVJBRkFBQUFBQUFBVXhCRUFRQUFBQUFBd0JRRVVRQUFBQUFBQURBRlFSUUFBQUFBQUFCTVFSQUZBQUFBQUFBQVV4QkVBUUFBQUFBQXdCU3V6aTRBeU10U2JhbUsvT1dJczh0QVBoUDV5eEdscEtRNHV3d0FBRzRMenorNEhUei9BTWd0Z2lqZ0poS1RraFErYzdhc1ZxdXpTMEUra3BLU29xdHhjYzR1QXdDQTI4THpEMjRIeno4QWNvc2dDc2hDc2ozdG5KdGhuRXV6MnoxaXJsNTFkamw1VGxwcW1tTmViNW9raXd1emZMTmt0MTlJdHR2UE9ic01BQUJ5ZytlZm03T25wVWwyR1pJa1EzYkR3dk5QbG5qK0FaQUR3OWtGQUhtVTVhRUsxU3BiWEswbG5WMUlYdVJwdGRkemR6SDZHNGJoa3B5Yyt0RzFWTXM2WjllVUY2VWFhUmRQL1hJZ1V1bDVIUUFBZVIzUFB6ZFJ3Q1cxb2RYVnBhOGtwZGhTcHlla3VteDBkazE1RWM4L3Q4K2V1TTd1N0Jwdy96RThuODF6dVE4am9vQ3NwZjN2NktGSVNaSE9MaVF2cWxHalJsWERzQlNWWkZpdGxxc25EdTNiNU95YUFBREFIZVA1NXlacTFLZ1JaTEVZUmV4MnU5eXNMbGNpZWY0QmdOdkNlRklBQUFBQUFBQ1lnaUFLQUFBQUFBQUFwaUNJQWdBQUFBQUFnQ2tJb2dBQUFBQUFBR0FLZ2lnQUFBQUFBQUNZZ2lBS0FBQUFBQUFBcGlDSUFnQUFBQUFBZ0NrSW9nQUFBQUFBQUdBS2dpZ0FBQUFBQUFDWWdpQUtBQUFBQUFBQXBpQ0lBZ0FBQUFBQWdDa0lvZ0FBQUFBQUFHQUtnaWdBQUFBQUFBQ1lnaUFLQUFBQUFBQUFwaUNJQWdBQUFBQUFnQ2tJb2dBQUFBQUFBR0FLZ2lnQUFBQUFBQUNZZ2lBS0FBQUFBQUFBcGlDSUFnQUFBQUFBZ0NrSW9nQUFBQUFBQUdBS2dpZ0FBQUFBQUFDWWdpQUtBQUFBQUFBQXBpQ0lBZ0FBQUFBQWdDa0lvZ0FBQUFBQUFHQUtnaWdBQUFBQUFBQ1lnaUFLQUFBQUFBQUFwaUNJQWdBQUFBQUFnQ2tJb2dBQUFBQUFBR0FLZ2lnQUFBQUFBQUNZZ2lBS0FBQUFBQUFBcGlDSUFnQUFBQUFBZ0NrSW9nQUFBQUFBQUdBS1YyY1hBQUFBQUFEQWc4N3dmTlp3ZGcyQUdSZ1JCUUFBQUFBQUFGTVFSQUVBQUFBQUFNQVVCRkVBQUFBQUFBQXdCVUVVQUFBQUFBQUFURUVRQlFBQUFBQUFBRk1RUkFFQUFBQUFBTUFVQkZFQUFBQUFBQUF3QlVFVUFBQUFBQUFBVEVFUUJRQUFBQUFBQUZNUVJBRUFBQUFBQU1BVUJGRUFBQUFBQUFBd0JVRVVBQUFBQUFBQVRFRVFCUUFBQUFBQUFGTVFSQUVBQUFBQUFNQVVCRkVBQUFBQUFBQXdCVUVVQUFBQUFBQUFURUVRQlFBQUFBQUFBRk1RUkFFQUFBQUFBTUFVQkZFQUFBQUFBQUF3QlVFVUFBQUFBQUFBVEVFUUJRQUFBQUFBQUZNUVJBRUFBQUM0YjludmtrOCsrV1JLOGVMRmpVS0ZDaGt6WnN5WWNyZjZ0ZHZ0ZG1mL2pnREFUQVJSQUFBQUFBQUFNQVZCRkFBQUFBQUFBRXhCRUFVQUFBQUFBQUJURUVRQkFBQUFlQ0NrcHFicXh4OS8xS1ZMbHpLZCsrR0hIeFFYRjVmcCtMcDE2eFFURTVOdG43R3hzWXFNakZSU1V0SmRyUlVBN2xjRVVRQUFBQUFlQ05ldlgxZVBIajIwYytmT0RNZVRrNU0xZnZ4NGpSdzVVbjlkTy96SWtTTWFPWEtrNXMrZm4yMmYyN1p0VStmT25YWHMyTEVjM3o4K1BsNGJOMjY4L1E4QUFQY0JnaWdBQUFBQUR6UTNOemVOR3pkT08zYnNjSVJVYVdscEdqOSt2Q3BWcXFUZXZYdmY4WHY4K09PUDZ0aXhvNFlPSGFwZmYvMzFqdnNEZ1B6SzFka0ZBQUFBQUlBekpDVWw2YlhYWG5PODl2YjIxb2NmZmloSlNrbEowWWtUSitUcjY2c3VYYm9vSVNGQjE2OWZ2K1gzdUhqeG9xWk5tNlkxYTlhb2FOR2ltang1c2lwV3JIalhQZ01BNURjRVVRQUFBQUFlU0dscGFZcUtpbEs3ZHUzMHhCTlBPSTYvOTk1N2F0eTRzYnAzNys0NE5uNzhlTm50ZGxrc3VadFVFaE1UbzhXTEZ5c2lJa0pKU1VscTI3YXQrdlRwSXg4Zm43ditPUUFnUHlHSUFnQUFBSEJmdTN6NXNxS2lvcFNjbkN4Sit1MjMzN1J6NTA2VkxWdFdrbFM5ZW5WNWUzdXJUSmt5OHZmM1YxaFltS3BXcmFxbVRadHE5dXpaNnRpeG85emMzSEkxSXVydzRjUDYvUFBQOWQvLy9sZEpTVW1xWGJ1Mit2ZnZ6eWdvQVBnRFFSUUFBQUNBKzlwUFAvMms0Y09ITzE3UG56OWY4K2ZQMTVneFl4ekh2dnJxSzUwK2ZWb2ZmL3h4aG1PZmZQS0pYbmpoaFZ5OXo1SWxTelJwMGlSWkxCYlZyMTlmYjd6eGhxcFZxM2IzUGdnQTNBY0lvZ0FBQUFEYzErclhyNjl2dnZsR1NVbEpldUdGRnpSOCtIQTFhdFJJcnE1Ly9uVm84T0RCZXVtbGwzVGt5QkhIc1NWTGxxaFBuejd5OWZYTjFmczgvL3p6U2t4TVZNdVdMVld5Wk1tNy9qa0E0SDVBRUFVQUFBRGd2dWJtNXFiaXhZc3JJU0ZCa3VUbDVaWGhkWFIwdEM1ZHVxVEpreWZMYXJVcU5UVlYwZEhSR2o1OHVEdzhQSFQwNkZHbHBxWTYranQwNkpCT25UcmwrRm1TdnZ2dU8vbjYrc3JMeTBzYk4yN01WVjNseXBWVG5UcDE3dVpIQllBOGp5QUtBQUFBd0FOdDFxeFptak5uVG9aakN4WXMwSUlGQ3h5dms1T1RWYkJnUVVuU3RtM2JkUERnd1F6dEZ5NWNlTXZ2MjZoUkk0SW9BQThjZ2lnQUFBQUFEeVIzZDNlRmhZV3BTcFVxT1U2L1c3eDRzZWJObTZlVWxCUjE3ZHBWVHo3NXBLVDBrVkRqeDQvWHJGbXpWS2xTSlVuUytmUG4xYWxUSjdWdDIxYjkrdlhMdGsrcjFYcjNQZ3dBNUJNRVVRQUFBQUFlU0M0dUxnb0pDZEV2di95aTA2ZFAzN1N0ajQrUExCYUxwUFFBeTl2Ylc1TGs0ZUVoU1NwUW9JRGptTGUzdHhvMWFxVFBQLzljblRwMTBzTVBQM3dQUHdVQTVDOEVVUUFBQUFBZVdDZFBubFNQSGozazVlVWxGeGVYTE50Y3UzWk5WYXBVdWFWKysvZnZyeTFidHVpZGQ5N1J2Ly85YjdtNXVkMk5jZ0VnM3lPSUFnQUFBUERBKy9qamoxV2hRb1VzencwYk5relIwZEczMUorZm41OEdEUnFraVJNbmF0aXdZUW9MQzJNcUhnQ0lJQW9BQUFEQUEyYlBuajNhdW5XckNoUW9vTFp0MjBxU0lpTWpGUk1UazJYN0sxZXUzUEo3Mk8xMmRlalFRVkZSVVZxMWFwV0dEaDJxc1dQSHlzZkg1NDVxQjREOGppQUtBQUFBd0gwdEppWkdtemR2MXNhTkd5VkpxMWV2VnJGaXhmVHFxNjg2Mm9TSGgyYzdOZS9xMWF1cVdMRmlydDdyNnRXcldyRmloZmJ0MjZkcDA2WnA1TWlSc2xnc1dyRmloZHExYTZkLy92T2ZhdGFzMloxL0tBRElwd2lpQUFBQUFOelg5dTdkcTNIanhxbE1tVExxMHFXTEdqVnFwT3JWcThzd0RFVkdSa3FTWnM2Y2VWdFQ4OUxTMGlSSnYvMzJtejc3N0RPdFhidFdTVWxKcWx1M3JpVEpZckZvNU1pUkNnZ0kwSlFwVS9UV1cyOXAwYUpGYXRldW5abzFheVpQVDg5NzhJa0JJTzhpaUFJQUFBQndYM3Y2NmFlMWNPRkNWYXRXTGRzMlAvMzBrODZkTzVmbHVVdVhMbVY3M2Q2OWV5VkpvYUdoa3FUYXRXdXJTNWN1Q2drSnlkRHV4UmRmVksxYXRmVGhoeDlxNDhhTmlveU0xT2VmZjY1NTgrYmQ2c2NCZ0h5TklBb0FBQURBZmMxcXRkNDBoSktrT1hQbTNOYlV2TGk0T0VsU2t5Wk45STkvL0VNQkFRSFp2b2VmbjUvQ3dzSjArUEJoZmZycHArcmN1WE11UHdFQUFNQURyRWFOR3IyRGc0TlRnNE9EMDRLQ2d2N3A3SG9BQUFDeVk3OUw5dS9mYjIvU3BJbTlmdjM2OW0zYnRqbU94OGZIMjdkdTNYcEhmVHY3ZHdRQVpySTR1d0FBQUFBQXlLOEtGaXpvV0E4S0FKQXpnaWdBQUFBQUFBQ1lnaldpQUFBQUFOeTNETU13N2tZL05XclVHT2ppNGpMWmJyZXJUNTgrZy9mdDIvZmgzZWdYQUI0MGpJZ0NBQUFBQUFDQUtRaWlBQUFBQUFBQVlBcUNLQUFBQUFBQUFKaUNJQW9BQUFBQUFBQ21JSWdDQUFBQUFBQ0FLUWlpQUFBQUFBQUFZQXFDS0FBQUFBQUFBSmlDSUFvQUFBQUFBQUNtSUlnQ0FBQUFBQUNBS1FpaUFBQUFBQUFBWUFxQ0tBQUFBQUFBQUppQ0lBb0FBQUFBQUFDbUlJZ0NBQUFBQUFDQUtRaWlBQUFBQUFBQVlBcUNLQUFBQUFBQUFKaUNJQW9BQUFBQUFBQ21JSWdDQUFBQUFBQ0FLUWlpQUFBQUFBQUFZQXFDS0FBQUFBQUFBSmlDSUFvQUFBQUFBQUNtSUlnQ0FBQUFBQUNBS1FpaUFBQUFBQUFBWUFxQ0tBQUFBQUFBQUppQ0lBb0FBQUFBQUFDbUlJZ0NBQUFBQUFDQUtRaWlBQUFBQUFBQVlBcUNLQUFBQUFBQUFKaUNJQW9BQUFBQUFBQ21JSWdDQUFBQUFBQ0FLUWlpQUFBQUFBQUFZQXFDS0FBQUFBQUFBSmlDSUFvQUFBQUFBQUNtSUlnQ0FBQUFBQUNBS1FpaUFBQUFBQUFBWUFxQ0tBQUFBQUFBQUppQ0lBb0FBQUFBQUFDbUlJZ0NBQUFBQUFDQUtRaWlBQUFBQUFBQVlBcUNLQUFBQUFBQUFKaUNJQW9BQUFBQUFBQ21JSWdDQUFBQUFBQ0FLUWlpQUFBQUFBQUFZQXFDS0FBQUFBQUFBSmlDSUFvQUFBQUFBQUNtSUlnQ0FBQUFBQUNBS1FpaUFBQUFBQUFBWUFxQ0tBQUFBQUFBQUppQ0lBb0FBQUFBQUFDbUlJZ0NBQUFBQUFDQUtRaWlBQUFBQUFBQVlBcUNLQUFBQUFBQUFKaUNJQW9BQUFBQUFBQ21JSWdDQUFBQUFBQ0FLUWlpQUFBQUFBQUFZQXFDS0FBQUFBQUFBSmlDSUFvQUFBQUFBQUNtSUlnQ0FBQUFBQUNBS1FpaUFBQUFBQUFBWUFxQ0tBQUFBQUFBQUppQ0lBb0FBQUFBQUFDbUlJZ0NBQUFBQUFDQUtRaWlBQUFBQUFBQVlBcUNLQUFBQUFBQUFKaUNJQW9BQUFBQUFBQ21JSWdDQUFBQUFBQ0FLUWlpQUFBQUFBQUFZQXFDS0FBQUFBQUFBSmlDSUFvQUFBQUFBQUNtSUlnQ0FBQUFBQUNBS1Z5ZFhVQld5anhhdlp5YjFmVlJaOWVCL092Njlldkh6eDMvNWFTejY4Q0RpL3NZN2hUM3Nmc2I5d2pjS2U0UndKKzRwK0pPY1U4MVY1NExvdno5Zy94bHRjK1RZYS9zN0ZxUWY3bDd1UDNQM3orbzQ0a1QrMDQ0dXhZOGVNcFdxT0ZuZFRVV2NoL0RuZUErZHYvaVdRZDNBL2NJSUIzM1ZOd04zRlBObGVlQ0tIbklYNFlxR3pKOEMzaDZ5c1hWeGRrVklSOUp0YVVxTVNsSmFYYTdoenprTDRrYkNVeG5sZnh1M01jOFBUM2x5bjBNdDRENzJBT0FaeDNjQWU0UndOOXdUOFVkNEo3cUhIa3ZpUHBEQVU5UERlN2ZSMVdyVkhKMktjaEhJbjg1b3ZDWnN4Vno5YXF6U3dGVXdOTlRmWHQxVjFDTjZzNHVCZmtJOTdFSEI4ODZ1QjNjSTRDc2NVL0Y3ZUNlNmh4NU5vaHljWFZSMVNxVlZDdmtTV2VYZ256R2FyVTZ1d1JBVXZwOXJFcWxBTzVqdUdYY3h4NE1QT3ZnZG5HUEFETGpub3JieFQzVmZPeWFCd0FBQUFBQUFGTVFSQUVBQUFBQUFNQVVCRkVBQUFBQUFBQXdCVUVVQUFBQUFBQUFURUVRQlFBQUFBQUFBRk1RUkFFQUFBQUFBTUFVQkZFQUFBQUFBQUF3QlVFVUFBQUFBQUFBVEVFUUJRQUFBQUFBQUZNUVJBRUFBQUFBQU1BVUJGRUFBQUFBQUFBd0JVRVVBQUFBQUFBQVRFRVFCUUFBQUFBQUFGTVFSQUVBQUFBQUFNQVVCRkVBQUFBQUFBQXdCVUVVQUFBQUFBQUFURUVRQlFBQUFBQUFBRk1RUkFFQUFBQUFBTUFVQkZFQUFBQUFBQUF3QlVFVUFBQUFBQUFBVEVFUUJRQUFBQUFBQUZNUVJBRUFBQUFBQU1BVUJGRUFBQUFBQUFBd0JVRVVBQUFBQUFBQVRFRVFoZi9QM3IzSDUxei9meHgvZnE0ZHplWVVUU05VaEJIbVZIUlFEaDBsOU0wNlNQSXRjaWcwdmxaeWlDU1M4Nm1SVTA3ZjVWejB6YUdVU2xJTll5V0VhTTVheHM3WDlmNzlNYnQrcm5ZdzRycTJlZHh2TjdlMnoybXZMVDU3ZjU2Zjl3RUFBQUFBQU1BdENLSUFBQUFBQUFEZ0ZnUlJBQUFBQUFBQWNBdUNLQUFBQUFBQUFMZ0ZRZFFWNG5BNGxKU1VKTHZkbm0yZjNXNVhRa0tDTWpJeUpFbG56NTdWMmJObkwzck54TVJFeGNYRktUVTFOY2Y5ZS9iczBaNDlleTZweHR5Y09YTkdlL2Z1emZNWUFMaGF6cDQ5cTcvKytzdHRYeTg1T1ZrSkNRbmM4NEJDN01TSkU4NjJGUURnLzUwNGNVTEp5Y201N3MvSXlOQ3hZOGVVbnA2ZTUzVjRmc1RWUWhCMWhlemF0VXQzMzMyM3RtelprbTNmM3IxNzFhSkZDMjNidGsyU0ZCa1pxWDc5K2wzMG1qLzg4SU9lZmZaWkhUcDBLTWY5NzczM250NTU1eDFKMHBvMWEvVEZGMS9rZWIwZVBYcG85T2pST2U3YnNHR0R3c1BEbFpLU2N0RzZBQlJ1ZHJ0ZCsvZnZkOW4yNTU5L2FzR0NCYmtHMy9rUkhSMnRCZzBhNkpGSEhza3hsTS9ML1BuejlmREREK3ZreVpPU3BGOS8vVldiTm0zSzg4OXZ2LzNtUE44WW80eU1qR3gvakRIWnZsWkdSb2FlZWVZWnRXL2ZQc2Y5QUtSRGh3NWx1eDlzM2JwVm16WnR1dXhybmpselJtM2J0bFdEQmcyMGZQbnlmSjJ6Y09GQ3padzVNOGZBcVh2Mzducjk5ZGN2dTU0TE9Sd09SVVJFcUhuejVscTBhTkVWdVNZQTVDVTVPVmw3OSs2OXJEOUpTVWw1WHJ0dDI3WmF0V3BWcnZzUEhUcWtoeDkrV0x0Mzc5YVJJMGR5YmJmeC9JaXJ4ZHZUQmVEeStmbjVPVzlDc2JHeGlvNk9WcWRPbmRTclZ5OTVlWG01SEp1WW1LaWZmdnBKOTl4emp3NGRPcFR0Wm5QcTFDbEowc0dEQjFXc1dMRnNYNnR5NWNxeUxPc3FmU2NGbWxmdDJyVnY5L2IyanR1MmJWdUNwNHZCMVZPblRwM2lOcHV0N3JadDI3NlhWS1Jmc2E5ZXZWcHZ2dm1tM243N2JUM3d3QU9TTW50WWpoMDdWajQrUHVyUW9jTWxYM1B6NXMwYU0yYU1xbFdycHIxNzkyck1tREVhTUdCQXZzNU5UazVXZEhTMG1qVnJwckpseTBxU0ZpeFlvRTgrK1NUUDg1NTY2aWxucVAvMTExK3JUNTgrMlk3cDM3Ky9ubnp5U1pkdHk1Y3YxOEdEQjJWWmxsYXVYS24yN2R2bnEwN2dXcEdSa2FGZXZYckp4OGRISDMzMGtmUDMvL1RwMC9YSEgzL280NDgvbG8rUHp5VmY4ei8vK1kvaTQrTjE4ODAzYStMRWlhcGZ2NzRxVjY1ODBmTm16SmloTDc3NFFrT0hEbFcxYXRVa1piNEEzTDkvdnhvM2JuelJGM0gxNnRWVDZkS2w4enhtL1BqeDJyaHhvMHFWS3FXWk0yZXFTWk1tcWxLbHlpVjlqNFZaN2RxMTY5aHN0c1FkTzNic3YvalJ3RDkzTGJXN2NyTnIxeTUxNjlidHNzNmROR21TbWpadCtvOXJzTnZ0NnRxMXExcTJiS25ldlh1NzdPUDVFVmNUUWRSVmRQVG9VWlV2WHo3UFk5TFMwblRxMUNuZGNNTU5sM3g5UHo4LzV4dkNBUU1HcUdMRmlobzNicHpTMDlPejliamF0R21UN0hhN1dyUm9vYWVlZWlyWElUQWRPM2JNY2Z1bVRac1VFQkJ3eVRVV1FsNDMzM3h6WU1tU0pTc1lZeDYyTEt1clpWblZqREgxSkJGRUZXRmVYbDVsTGN2Nkppd3NiSi9ENFpocHM5bFdHV1BpdDIzYmxpanAwcnIzRkdEcDZlbUtpb3BTY0hDdzdyMzNYdWYyeG8wYjY5WmJiOVhjdVhQVnRtMWIrZnI2NXZ1YTI3WnQwNEFCQTFTMWFsVkZSVVZweVpJbG1qUnBrc3FWSzZjdVhicGM5UHpGaXhmcjNMbHo2dEdqaDNQYmE2KzlsbXZQMFRGanhtajE2dFZxMXF5WmMxdnQyclUxYWRJazUrY09oME85ZS9kV3laSWxYYzQ5Y3VTSUprK2VyTWNlZTB5QmdZR2FNR0dDYnIvOWRsV29VQ0hmM3k5UTFLMWF0VXFIRHgvV2dBRURYQjRpbm4zMldVVkVSR2pWcWxWNi9QSEg4MzI5akl3TURSbzBTRnUzYnRXd1ljUFV0R2xUZGV6WVVhKzg4b3J6ZnBTYlRwMDZxV0hEaGhvd1lJRGVmdnR0elo0OVc1STBjK1pNZVhsNWFlWEtsVnE1Y3FVY0RvZlMwdExrNStmbnJEbXJaK1MwYWRQVXVISGpISzl2ak5INDhlTzFZTUVDUGZYVVUrcllzYU82ZE9taW5qMTdhc3FVS1VVMWpMSlZyMTY5ZVBIaXhZUHRkbnNMbTgzMmttVlo5UndPUjJkSkJGRndpMnVsM1pXWFdyVnE2Yi8vL1crTys4YVBINjlEaHc3cHZmZmV5M0YvU0VpSTgrUG82R2d0V0xEQVpYOUtTb3Fpb3FLMGNPRkM1N2JTcFV0cnpwdzVMc2Y1K3ZwcThPREI2dDY5dTJyVXFPRjhRU254L0lpcml5RHFIenAyN0ppT0h6K3VmZnYyU1pJT0hEaWdvS0FnSFQ5K1hBTUdETkMwYWROVW9rU0pYTTlmc1dLRnhvd1pvN2x6NTZwbXpabzVIdlBaWjUvcHh4OS9kSDVldjM1OVZhdFdUZjcrL2k3ZDVwOTU1aG5kZlBQTnpyZUZGL3I0NDQvVnVIRmpCUWNINjhNUFA4dzJsbmZkdW5XYU1tV0tGaTllTEg5Ly8yem41NVJ5RnlXMWE5ZSswZHZiK3g1SmRTekxhaWlwc2MxbUMvUjBYWEEveTdKdThmTHlHbW1NR1doWjFvLzE2OWZmNm5BNHRrbjZadHUyYlFjOFhkOC9OWFBtVEIwNWNrUkRoZ3lSbjUrZnk3NFhYM3hSL2Z2MzE4U0pFL00xZkZqSzdBblZyMTgvQlFjSGEvTGt5UW9NREZUbnpwMjFmLzkrVFpreVJTZE9uRkMvZnYyeTlkTE1rcGlZcUhuejVxbDkrL2FxV0xHaWtwT1RWYXhZTWZuNysrZDRMNW83ZDY0KytlUVRkZXZXVFkwYU5YSnVMMTI2dEc2NDRRYXRXTEZDcjd6eWloSVRFeVZKcFVxVmNoNlRrWkdoMTE5L1hmNysvdXJUcDQvOC9QejAzWGZmcVhmdjNwb3paNDRDQS9rbkQ4aFFiWHNBQUNBQVNVUkJWSncrZlZwVHBreFJ4WW9Wcy9VV3ZPZWVlMVN0V2pWTm5EaFJUWnMyemRkTHROVFVWQTBZTUVDYk5tMVNSRVNFSG5ua0VVblMyTEZqMWJWclYzWHExRW5qeDQvUHRRMGtTYUdob1Zxd1lJSFMwdElrWlQ3Y2ZQWFZWeG8yYkpqemV0SFIwWHJ2dmZlMGR1MWE1Ny9sUG4zNmFOZXVYYXBUcDA2TzEwMUtTdEtiYjc2cDlldlhLenc4WEJFUkViSXNTOU9uVDFmMzd0MzEzSFBQYWNTSUVicnJycnN1L29NckJFSkRROHY3K2ZuZEphbXVwSWJHbU51OXZMenk3aW9HWEdWRnZkMlZsMkxGaXFscTFhbzU3Z3NLQ3BLdnIyK3UreTlVdDI3ZGJMMVVSNDBhcFR2dXVFTU5HelowYnJ1d1haVTFOWUZsV1dyVXFKSDY5ZXVuV3JWcXVWeUQ1MGRjVFFSUi85Q0tGU3NVRlJYbC9Ed3J0ZTdSbzRldXYvNTZmZkRCQityYnQyK081NmFtcG1yT25EbXFXN2R1bmcyd0JRc1d1THlSaklpSXlER0lrcVRiYnJ2Tk9mRmNWZ1B4Nk5HajJycDFxMGFNR0NGSnFsQ2hnbzRkTytiU3ZkSm15NXd1ek12THkrV0JzVml4WWhmdHpsNkllZGV2WC84aGg4UFIwYktzTU11eWdvMHhnWlpsMmFUTUd6VGRTYTlONS8vZkIwcHFab3k1eDJhekpScGpqb2VGaGUyd0xHdk9tVE5uMXU3ZHUvZnlKMVB5a0YyN2RtbjI3TmxxMkxDaEhuMzAwV3o3bXpkdnJsYXRXbW5Sb2tXNi9mYmJkZmZkZCtkNXZjV0xGMnZjdUhHcVdyV3FKaytlN0hLdkdESmtpSHg5ZlJVZEhhMzkrL2RyOE9EQkxtL3Zza3lkT2xVMm0wMHZ2ZlNTN0hhN09uWHFwQVlOR2lneU1qTGJzYk5uejlia3laUFZ1blZydmZqaWk5bjJ4OFhGYWNtU0plcmJ0NjhTRWpJN01HYjFpTExiN1JvNGNLRGk0dUkwWThZTTV3dUNjZVBHT1ljMFQ1Z3dJVnNQS3VCYTg5WmJieWtoSVVIdnZQT092TDFkbTRrMm0wM0RoZzNUczg4K3E5ZGZmMTB6WnN6SWRzeUY0dVBqOWRwcnIyblhybDBhT0hDZ1M3QlZ2WHAxdmYvKysrclZxNWRlZU9FRlJVUkVxRjI3ZHJuKzNpMVJvb1EyYjk2c3p6Ly9YSXNYTDFhOWV2WDA4TU1QUzhyc1haN1ZxMkQvL3YyNjdiYmJ0SHYzYm1mNGxkTURVbGJ2cktOSGo2cDM3OTdxMUttVGMxK2xTcFgwd1FjZnFFK2ZQdXJUcDQvYXQyK3ZYcjE2NWZsaXNTQUxDd3RySnVsNXk3THVNTVpjYjFsV0NVbGVrdXZES09BcFJiWGRsWnVrcENSdDNMZ3h6Mk9PSERtaXMyZlBhczJhTlhrZWQ4ODk5Nmg2OWVxcVhyMjZ5L1l4WThhb1RwMDZhdGV1blhPYjNXNVhiR3lzSk9udzRjT1NwSDM3OWlrOVBWMjFhdFZ5V1V5TDUwZGNiUVJSLzFEbnpwMzE5Tk5QS3k0dXpqbVpXK1BHalowOURhWk9uZXJzTGZWM3MyYk4wdkhqeHpWMjdOZzh2OGE4ZWZPY2FmakJnd2QxNk5BaExWdTJUSHYzN3RXcFU2ZlVxMWN2SFQxNlZNZU9IWFBPR2ZYa2swK3FmLy8ra2pJbitqVEc2SlpiYm5GZTg3bm5udE9KRXlleWZhMG5ubmpDNWZQNzc3OWZJMGVPek9kUG8yQ3JVcVdLLzNYWFhSZVlucDVleWN2TDZ4bEpUMG02d1dhenlSampiSXd4ZVRFa2w3OEhsakdtaEtRU2xtVlZsZFErS0Nqb1dGaFlXTFRkYnArVGxwWjJNQ1VsNWR5QkF3Y0s5RXlOcDArZlZtUmtwUHo4L0RSMDZOQmNIem9pSXlNVkV4T2p5TWhJalJzM0xzZmhMSC85OVplR0RSdW1qUnMzcW5IanhucjMzWGV6OVNheTJXd2FPSENneXBVcnA2aW9LRDN4eEJONjZhV1hGQjRlN2h6MnQydlhMaTFac2tRREJ3NVV5WklsdFd6Wk12MzIyMjk2K2VXWFhhNlZtcHFxdDk1NlMydldyRkhac21YMTZxdXY1bGovcVZPbm5BMmZyTzdqSlV1V1ZHcHFxb1lPSGFvTkd6Wm8yTEJoTHIwaktsU29vSWtUSjZwSGp4N3EwcVdMUm80Y3FWdHZ2ZlVTZnJKQTBURnYzang5K2VXWENnOFBkK2x4ZUtGYmI3MVYzYnAxMDVRcFU5Uy9mMytOR2pVcXg2RzhXZi9lTWpJeU5HclVLTFZvMFNMYk1UVnExTkFISDN5Z2lJZ0lqUmd4UW12V3JGRmtaR1MySGdER0dNMmFOVXZUcGsxVDdkcTFOV3ZXTEtXbXBzcXlMS1dtcG1yUW9FSDY0NDgvMUtoUkk3MzY2cXQ2OTkxM1ZhOWVQYzJkT3pmYnYrZmp4NDlyK3ZUcFdybHlwWUtEZ3pWdDJqU1hIZ05aeXBjdnI5bXpaMnY0OE9GYXVuU3BObXpZb0s1ZHUrcXh4eDdMTWRncUtFSkRRMzBkRGtlUWo0OVBpTGUzZHdkalRHZkxzaXBlZU16ZjJ6bUVVQ2dJaWxxN0t5K25UNS9Xc0dIRDhuWHN4WTVidUhDaEFnSUN0SFhyVnBmdERvZERCdzRjY0ZsSXEzVHAwdXJjdWJQTGNZTUhEM1orWEs1Y09mM3ZmLzl6WHBmblIxeE5CRkgva0orZm4vejgvSnpqWDRzVks2YWdvQ0JKVXJ0MjdiUm8wU0puNG53aFk0eTJidDJxTm0zYXFFYU5Hdm4rZXRPbVRkTzZkZXZrNys4dlgxOWZwYVdscVV5Wk1xcFpzNmJLbHkrdjRPQmdCUWNITzNzZUpDUWthT25TcFRsZXEwT0hEbnIyMldkei9WcXZ2ZlphdnVzcXlHclhybDNIeTh2ckhzdXlHaGhqR25wN2UxZVY1Qy9sSERybDBpQnJXSzllUGFMOTh4d09SelZKbGpJYkN6ZlhxMWZ2M291ZFU5QlpsaFY4d2NmTzdSZitIYm5nelhHd3BKZTl2YjFmOVBiMi9ybFlzV0t4SlV1VzNDcnBtKzNidDhlNHErYjhTa2xKVWUvZXZSVWZINitSSTBmbU9aeW1WS2xTbWpKbGlsNTg4VVgxN3QxYmI3Lzl0dTY3N3o1Sm1ZMmE1Y3VYYStyVXFVcElTTkFkZDl5aEJ4OThVRjk5OVZXdTE4c2EzdlAxMTE5ci9QangrdkRERHhVZUhxNE9IVHBvK1BEaENnZ0lVRnBhbWhZdVhLaTVjK2VxZGV2V3V1ZWVlNXpuZi9ubGx4b3pab3ppNCtQVnJGa3piZDI2VlczYnRsWG56cDBWSGg3dThrQjQ4dVJKWnhDVjFTTXFJeU5EWGJwMDBhKy8vcW8rZmZxb2FkT216bjFaS2xTb29KRWpSMnJ3NE1GNjl0bG5OWDM2ZElXRmhWMzZEeG9veE5hdVhhc0pFeWFvWnMyYWV1V1ZWL0k4dGt1WExqcHk1SWlXTFZ1bXZuMzdhdFNvVWM0d09tdE9rMDJiTmlra0pFUXRXN1pVYW1wcW5tLzFuMzc2YWExZXZWb3hNVEVLRHcvWG5YZmVxZWVlZTA0TkdqVFFpUk1uTkdUSUVHM1pza1dQUHZxb0lpTWo1ZS92TDJPTXZ2enlTMDJjT0ZGSGpoelJzR0hEMUx4NWMwVkdScXByMTY0S0R3OVhwMDZkbkNGWlltS2lac3lZb1k4KytraHBhV202NVpaYmRPKzk5eW91TGs1eGNYRzUxbGFqUmcwZFBYcFU4Zkh4R2oxNnRIUFkzdVVzNm5BMTFhMWJ0NWJOWnJ2SEdGUFBzcXpHa202MUxDdkFzcXdjZXozbDFOYXhMS3RHVWZoOWZqVVpZNnBLbVQ4L2g4TlJsWi9YNVN2SzdhNkxxVml4b3I3Nzdyc3JkcjNVMUZUMTZORkR2cjYremw1S05wdE5xMWF0Y3E2Y2w1S1NvaDQ5ZWpqbmpOcTdkNjhHRHg2c1ljT0dPY1Avck9GOVBEL0NIUWlpcnFJeVpjcm8wMDgvMVcrLy9hYjMzMy9mWlo5bFdabzVjK1lsTDVVZUdSbXBnUU1IS2lnb1NNdVdMZE9JRVNNVUdSbnBETUxPbkRtalAvNzRROFdMRjVja2ZmREJCN2t1cVdtMzI1M3pMZVRrNytPQUN4V0hVVEZmUFJnV0Z2WWZTYUhuaDkzNUtUTTh1ZVMzZ1pabHZXTloxalc1b2tkT0xNc0swUG1mcGMxbWU4cXlyTWM4WE5JL1pvenh5cVZoZnVFeEx2KzFMTXRmVXBpa2VsNWVYaDBrSGE5WHI5N3VkTHZaY2k3REZJaFh6R2ZQbmxYZnZuMFZGeGVuYnQyNjZmNzc3M2Z1MjdObmp6SXlNcklORGM0YWF0ZTllM2YxNjlkUDdkdTNWOSsrZlRWcDBpUkZSMGNyT0RoWUV5ZE8xUGZmZjYraFE0ZGV0QVlmSHgrdFg3OWVNMmZPMU9MRmk3Vnc0VUsxYTlkT1FVRkJPbnIwcU9iTm02Y1RKMDZvWExseTZ0Ky92K3gydTc3NTVoc3RYTGhRVzdkdVZiVnExUlFWRmFVR0RSb29JU0ZCSDN6d2dhWk5tNlpGaXhicDVaZGYxc01QUHl6THNyTDFpUEwyOWxad2NMQUNBZ0kwZHV4WVRadzRVZVBHamN1MXpsV3JWbW54NHNXcVc3ZnVaZjYwZ2NKcDNicDFHalJva01xVks2ZHg0OGE1Qkx4cjE2N1YzWGZmblcydWo5ZGVlMDNKeWNuNjlOTlBGUjRlcnFGRGg2cFNwVW9LRHc5WGFtcXEyclJwb3g0OWV1akJCeC9NVncyOWV2VlN0MjdkTkc3Y09IM3p6VGNLRFExVmNuS3lCZzBhcExTME5PZDhVUEh4OGZyb280KzBidDA2SFRseVJBMGJOdFE3Nzd6am5CL3ozWGZmMVlJRkN4UVZGYVhvNkdqZGNjY2R1dmZlZTlXcVZTdHQyTEJCVmF0VzFYLys4eC9GeGNWcDZ0U3BMaldrcHFZcVBUMDlXdy9QWXNXS2FlWEtsWXFPanRhY09YTjAwMDAzWGM2UCtZb3pEcU5BWHpVUEN3dDdXVkw5OHcvci90YjVYMXlYOExJdGExOTN5N0k2NTNvQTVIQTRMbXovUEd0WlZ2NW43WWVMSzl6dStxbWd0THN1UlhwNnVqNzk5TlBMT3ZmKysrL1AxanR6OU9qUit2bm5uMVc5ZW5VMWE5Yk0rUUp5OU9qUmV2TEpKMld6Mlp4RCtFNmVQQ2twOCtmOTkyRjkxK3p6STl5S0lPb3FpSXVMVTBCQWdLcFVxU0lmSHgrZE9YTkcwditQbzVVeTM5TGJiTFpzRGJ1TWpBd2xKeWRMa3ZPL1NVbEp6b2wzQXdNRG5mTXhsQ3RYVGxMbWphUlNwVXFTTXVjN1diTm1qVmF1WEtuRXhFVDk5Ny8vVlpzMmJaeHArSVdXTGwyYWE5cWRwV0xGaW5udUw4aHNzbndsbFpBVW9QTnpJVWlYUGZUT3p4akR2eGRYZG1YMmlKTE85ekFyekxMbUJyc1VmNXRIekV0U2dHVlpKUzNqOE12ak5MZEpURXhVMTY1ZDlldXZ2NnBEaHc3cTJyV3J5LzRSSTBZb05qWldpeFl0eWpaOHBWYXRXcG8zYjU0aUlpSzBiTmt5bFM5ZlhpKzg4SUw4L2YzMXdnc3ZxSGp4NG1yY3VIRytsaDIyTEV2RmloVlRuejU5MUtGREJ4MDllbFJseXBUUmpCa3pKR1ZPUE55dlh6K05HREZDeFlvVjAvUFBQNjlkdTNZcE5EUlU3N3p6amxxMGFPRzhmNVlxVlVvUkVSRjY4c2tuTlhic1dBMGVQRmkvL1BLTElpSWlkT3JVS1JsanRHblRKbTNmdmwzKy92N2F1bldycGs2ZEtoOGZINVVwVThaNVg4MUpTRWlJSWlJaUx2WEhEQlJxSzFldTFQRGh3MVc2ZEdsTm5qeloyYmFRTWhjamVPMjExM1RmZmZkcHpKZ3hMdWZaYkRZTkh6NWNOOTU0bzZLaW9oUVpHYWtWSzFhb1Q1OCt1dW1tbTV4RCt6WnQycFN2T254OWZlWHQ3YTBGQ3haby9mcjFhdDY4dWZiczJhUHk1Y3RyK1BEaHpqZjJwVXVYMW80ZE85UzRjV08xYWRORzllclZjN21PWlZucTJMR2pXcmR1cmVqb2FIM3l5U2VxVjYrZUFnTUROV3ZXTEYxLy9mV3lMRXUzM1hhYndzUERYYzU5Ly8zM0ZSVVZwUTBiTnVRNDk5V3p6ejZySjU5OE10dWt3QjdtSzZta3BBQmp6RDl0Ni9nWTVpZklEK2NrT2NhWVF0Lys4WlFyMmU2UzVDc1Z2cis2S1NrcGV2UE5OK1h0N1ozbmZIc1h5bG9OdEduVHBqa09FeTVmdnJ4R2poeXBCZzBhYU9MRWlTcGV2SGlPazRablRXR3dkKzllbCsxNzl1eTVwcDhmNFQ0OFdGOEI2ZW5wMnJObmp5UnB3SUFCU2twSzBzaVJJMVdsU2hXdFhidFdiNzMxbGlUWGxRcGlZbUlVRVJHaC92MzdxM3o1OHM3dFAvNzRvOHNTNXBMMC9QUFBPeitlTkdtU21qWnRLa25PNFRYSGpoMVRwVXFWOU1NUFAyalZxbFhxMnJXcnlwY3ZyMisvL1ZhaG9hRnExNjVkamplU1o1OTlWdi8rOTc5ei9iNTY5KzU5cVQrS2dzTm02Vnk2VnUyS2pYbTFkdTNhZFh4OGZKb1pZK3BibHRYdy9IaHovNXk2L2tvNXZ5MDB4dlExeHVRODJkYzF5QmhqV1paVnlXNjMyeHdPeHdFZkg1L0M5OXYvYjg2L1NWNzg5KzI1dGNuUC96MUpNY2I4SWluV0dMUFZicmQvczJQSGpwK3FWSzF6aDN5czNQc3R1MGxnWUtCdXUrMDJOVzNhTk51OFM1OS8vcmxpWTJQMTZLT1A1am9uVXBVcVZUUnYzanpObno5Zm5UdDNscGVYbDh0OXdjZkg1NUlmeUVKQ1Fsd21MVDkwNkpEZWVPTU45ZWpSdzlrVDZZMDMzcEF4SnRzYnVndFZxRkJCNzczM25yWnUzZW9jM3B5UWtLQjkrL2JwcDU5K2twVDUvNjVQbno3YXRHbVRmSHg4VkxGaVJaVXNXVkpmZlBHRnhvOGZyNlZMbHpvYmZrdVdMTkV2di95UzZ4TEVRRkVWR2hxcTZ0V3JhK1RJa2M2WFdsTG1XKzBKRXliSXg4Y24yLzBqaTJWWjZ0YXRtMEpEUStYajQ2T2dvS0JzUTlZdWRlbHVtODNtN0xsWnMyWk5MVnk0VUpabDZaRkhIbkVaVnZ2TEw3L29zODgreS9OYTc3enpqc3ZDQnNIQndYa2NuVDhGS1lTeU10czYvOXNWR3hONTRkQThTYzZoZVZMMlhpVlNybTJkaWNhWXZIK28xN2owOUhUTHg4ZW5rc1BoTUpabEhiSXNxOUMzZnp6bGlyYTdhdFM3VjViMTFGVXQrQ3JxMmJPbnk0SUprcHhEaGtORFExMjIvL2UvLzlYbzBhTnp2ZGJ0dDkrdTJOaFlIVDU4V0FFQkFXclRwazJPdlp1eTdxZC9INW9jR3h0NzdUNC93cTBJb3Y2aG1UTm5hczZjT2M2MzdFMmFOTkVUVHp5aDZ0V3JhOWl3WWM3Sk1NK2RPK2V5R2xQWnNtVzFkZXRXUGY3NDQrcldyWnVlZnZwcGx5Ujh5SkFodXZIR0c1MmZ4OGZIdTB3bUowazMzbmlqYkRhYjl1M2JwNG9WSytyMTExOVhqUm8xbkRlSFZxMWE2YmJiYnN1MWErWHAwNmV6cGVBWHlxdm5RR0d5YytmT0haSjJoSWFHQnZyNStWMW5qTG5Kc3F3T2t0cG5qVS9QUnlqMXc3WnQyN2E3cjJxNFcxaFlXT1dzLzk4WGFRVEpHSFBDR0xQU0dMTWdJeU5qWDNwNmVzTHUzYnNUM1Zac1BsbVdwZGRmZnozYjl0VFVWSTBmUDE0bFM1WlVuejU5OHJ4RzhlTEZYWG85TFZxMDZCOVA2RituVGgzVnJsMWJKMDZjVUk4ZVBSUWFHcXJHalJ0cjdkcTFPbkRnZ0pvMGFhS3Z2dnBLWGJwMHVlaTFsaTVkNnB5WGIvRmkxL2JzdW5YckZCa1pLVjlmWHcwZVBGaS8vLzY3NXN5Wm83Smx5K3J3NGNQYXNXT0g2dGV2THlsemt1YWJiNzZaSUFyWG5HclZxbW5CZ2dYWnRpOWZ2bHg3OXV4UnQyN2RWTGx5NVR5dmNlRUttenQzN3RTT0hUditVVTJXWmVtcHA1NXlmaXhsdGtucTFxMmJyNkYrSjA2YzBOU3BVNVdSa1pFdGNEbDA2RkN1dmJTeVZwTmF2SGl4U3kvMkxHWEtsTW4zVUVOMzI3NTkreTVKdTBKQ1FnSktsU3BWMXRmWHQ2S2s5cEtlc2l3clJMcDRXOGNZODh1MmJkdnlYc29MdUVLS1lydnJTbnI3N2JkVnZIanhiTk83WEV6Nzl1MlZrcEtpWmN1V1NjcnM5ZnJHRzI5a08yN2Z2bjN5OS9mWHpwMDdsWkdSNFh3TzVma1I3a0lROVE4NUhBNDk4TUFEdXVtbW16UnUzRGkxYmR0V0lTRWhldXFwcDNUczJERzk5TkpMOHZiMjF2VHAwMTE2UHQxMDAwMGFNbVNJQmcwYXBBa1RKcWhzMmJMT1pZZ2xaVnVHTSt0QjYwSitmbjZxWExteWZ2amhCMzMwMFVleUxFdWpSNDkyM2tpQ2dvSVVGQlRrYkZqOTNlclZxL01jbCt4d09GU2xTcFZML3BrVVZIRnhjV2NsblpWMFVOSkdTYjNEd3NJZWs5VEZzcXg2a2tvWlkvS2NXd0hYamdzYVA4YXlyR1JKWnh3T3gwN0xzdDVQVEV6OHVEQXZJenhuemh6OThjY2ZHakpraUVxVktpVXA4Ky83Ung5OXBGS2xTcm5NSS9WM2t5ZFBkbG02TjB0R1JvYU1NZkwyOXI3b25HdmR1blZUN2RxMW5aT1F4OGZIcTJQSGpySXNTOEhCd1dyU3BJbnV2UE5PbFMxYjFubk9Uei85cFBYcjE2dG56NTdPT2ZDa25PK05VdVlLbzhuSnlmTHk4cEszdDdmQ3dzSzBldlZxeGNmSEt6UTBWTVdMRjlmbXpadFZ2MzU5L2ZMTEwvcmpqejh1R3NvQjE0cUVoQVJObmp4WmxTcFZjbGxoNmZEaHc4NGh1MW1yQS8vZDFxMWJjM3h3TXNZb0l5Tnpxc1dMOVNyeTh2SnlCbEVYdXZubW05V21UUnZuNStmT25WUGJ0bTNWczJkUHRXM2Ixcmw5Nzk2OTJlWi91bkRmbENsVGN0eVhWZCswYWROeTNGK3paczBDRzBSbGlZK1BUNHFQai85ZDB1K1N2cFhVTHl3c3JLVXhwb2RsV2JjcmN4aGZzYXhoVVZtckJyTnlIanl0S0xlN0xrZFNVcEpMT3lpL1ZxOWVMVWxxMGFLRjNucnJMVFZwMGtRQkFRR2FNMmVPeTNHN2R1M1NvNDgrcXFWTGwyclhybDNPWHVrOFA4SmRDS0wrb2F3NVZ5Nzh4eG9TRXFLR0RSdXFkZXZXYXRTb2tmcjE2NmVhTld2S3k4dkw1ZHdiYnJqQk9SZEJxMWF0THV2cmg0V0ZhZG15WlFvS0N0TE1tVE5Wb1VJRmwxUTdMMTI2ZEZIUG5qMXozWDloZC9ZaUtqMG1KbWFKcENXaG9hR1ZmSHg4N3JFczZ6YkxzaG9hWXhwYmxoVjQwU3VnU0RxL3l0QlpTVDlhbHZXOU1lWW51OTIrWmNlT0hmczlYZHMvdFhmdlhzMmFOVXRObWpSeGVhQ1RNb2ZyN2R5NVU5V3JWOCsxQjhRMzMzeVRiZHZodzRmMXpEUFBxRXFWS29xS2lzcjFBZlh2V3JWcXBadHV1a2szMzN5emJycnBKbFdxVk1ubDNML1AvYkorL1hxMWFkTW14NGJaRHovOG9COSsrRUZ4Y1hIYXVYT24vdnJyTC9YczJkTTVKTHBaczJZYU1XS0UxcTFicCtlZWUwNzE2OWZYbGkxYjFMTm5UMjNZc0VFbFM1WjA2ZFVCWE10R2p4NnRzMmZQYXR5NGNjNVY1eVRwNk5HaldycDBxWXd4R2pod1lJN25Qdi84OHk1VENtUVpOV3FVb3FPak5YcjBhTFZvMGVLSzFKbVNrcUxUcDAvbjJIc3BOL2ZkZDU4MmJOaWc2ZE9ucTJQSGppNzNrNnc1b3I3ODhrdVhkdFM0Y2VOMDk5MTNxMkhEaGxla2JuZUxpWWxaTDJsOWFHaG9lVDgvdjdzazFaWFUwQmh6dTJWWnJBZ01qeXZLN2E3TGtaR1JvYU5IaityMjIyKy9wUE5TVTFOMTZOQWg1K2NuVDU3VW9VT0hWS1pNR1pmalVsSlN0Ry9mUG5YcjFrMnhzYkhhdUhGanZoZHE0ZmtSVndwQjFGVmdXWmJlZlBOTlNaazNnSysvL2xvdnZQQkNqc2ZhYkRhRmhZVXBPanBhclZ1M3ZxU3ZzMjNiTm1mMzhnRURCamduOHZ6aWl5ODBmZnAwVFo4KzNXWFMwYjg3Y3VTSXRtelprdXYreE1URXkwcmlDNk80dUxqZkpjMlg1RjI3ZHUzcmJEYmJUVjVlWHZjYlk1NnoyV3czZTdvK3VJOHg1b0NrRCsxMis1cU1qSXdEY1hGeHB5U2xlN3F1S3lFdExVMkRCdzlXWUdDZzh4NlZ4YklzRFIwNlZPSGg0Um93WUlEbXpwMmJyMEFwSlNWRi9mcjFVMkJnb01hT0hlczg1K1RKazRxTWpGU3ZYcjJ5QlVwWldyWnNxWll0VzJiYm5wNmVmc256c0t4ZXZWcmZmLys5NnRldnIxNjllcWwrL2ZyNjl0dHZuVUZVbVRKbFZMZHVYVzNZc0VIUFBmZWNHalZxcENsVHBpZ3BLVWxyMXF6UkF3ODhVS0RtZmdFOFpkMjZkZnJzczgvMHdnc3ZaUHUzMjdCaFF6Mzk5Tk5hdUhDaEdqWnNxQWNlZUNCZjExeXpabzJpbzZQVnMyZFBseEFxT2pwYXNiR3hHakprU0w0bjZyM1FIMy84SVVtNi92cnJMK204NDhlUGErWEtsZHE4ZWJObXpKaWhFaVZLNUhyc2dnVUxOSC8rZkFVR0JoYmFJQ3BMWEZ6Y1VVbExKQzBQQ3dzcjQzQTRLdHBzdHZ1TU1jL2JiTGJhbnE0UDE2YWkzTzY2WEQvKytLTlNVMVBsNit1Yjd3NEdVdWJMZ2lGRGhqZy9uenAxcW13Mm05cTFhK2R5M09lZmZ5NGZIeC9kZnZ2dDJyMTd0MWF0V3FXWFgzNDVYNkUrejQrNFVnaWlyckk1YytiSUdKT3Q1OEdGNHVQak5XclVLT2VFdXhlVG5wNnVPWFBtYU1hTUdicnh4aHRsak5HMzMzNnJoeDU2U0ZKbTc0UkRodzY1ekVtVmszWHIxdW1MTDc3SWRYOXFhbXFCV2FMWWpUSjI3dHg1VE5JeFNkOUpHaEVXRm5aWFdscmFvWXVjaDBJdU5UWDFsSitmMzcweE1USGZxb2cyZ0VhTkdxWGR1M2RyL1BqeHV1NjY2N0x0TDErK3ZQcjM3NjhoUTRabzdOaXhldTIxMS9LOFhrWkdoZ1lNR0tDalI0OXE1c3laTHRmMDgvTlRXbHFhZXZUb29WR2pSdVhhMjhnWW80TUhEMnJIamgyS2pZM1Y5dTNiVmIxNmRRMGZQdnlTdnJmWFgzODlXNUQwK2VlZnU2d1U4OUJERCttbm4zNlMzVzdYWTQ4OXBuYnQybW43OXUwNmV2U29IbjMwMFV2NmVrQlJkT0RBQVEwYk5reTFhOWZPOWExMnIxNjl0SG56WnIzMTFsdXFWYXZXUlZkSDJycDFxNFlQSDY1MjdkcGxtL2V0ZVBIaSt0Ly8vcWVFaEFTOSsrNjdPYTRBbFpkMTY5WkprbGFzV0NGampCbzFhcFN2QjdaS2xTcHA3Tml4ZXVtbGwvVHl5eTlyMnJScE9VNnF2bjc5ZW8wYk4wN3QyN2N2YW0vNTdURXhNU2NrblpBVUkybHMzYnAxdzd5OHZJcjBuRHNvV0s2RmR0ZkYrUHI2cWt1WExxcFRwNDV6VzliOVVKTG16NSt2VHovOVZJODg4b2dlZSt3eFZhbFNSWGZmZmJkQ1FrSnlETkFyVjY3czdMbmVvRUVEalI0OTJ0bit1bkJ1dkNWTGxxaFpzMllLQ0FqUS9mZmZyeGt6WnVqTEw3L1VmZmZkZDlHYWVYN0VsVUlRZFlYa05HZksyclZydFdqUkluWHUzRG5iMjdvTDV4L0tlcU1YRWhLaWZmc3lGMlo3L3ZublhjYnJaeDEvK1BCaGpSNDlXb2NPSFZMTGxpMDFlUEJnZmZiWlp4b3hZb1FlZlBCQjNYbm5uZnIxMTE5MTY2MjN1blNuejBtblRwM29Xbmx4OXBpWW1DODlYUVN1dnZOemlCWEovOWRKU1VtYU5HbVNWcXhZb2NhTkd5c3dNRkRmZmZlZGtwT1RsWktTNHZ5VG5KeXNwS1FrQlFZR2FzbVNKYnIzM252VnBFbVRISytaMWJ2cXh4OS8xTFJwMDV3OU1xWE0rUUd5ZW9iMjZkTkhFUkVSZXV1dHQ3TE5QZlhxcTYvcWh4OSswTGx6NStUbjU2ZlEwRkRkZGRkZGF0NjgrU1YvanpuMVpqcDI3Smh6RGl4Sit0ZS8vcVYvL2V0ZmtqSlhGSlF5Si9HOCtlYWJzNjFLQTF4clltSmlOSERnUUNVbkp5czhQRnd4TVRGS1RVMTF1VThrSnljck9UbFpJU0VoMnI5L3Z3WVBIcXlaTTJmbStoWTlKaVpHZmZ2MlZiTm16Ykl0bkpDYW1xbzc3N3hUM2J0MzE1UXBVOVM5ZTNkTm5qelpaUTY0QzQwZE85WVpkcWVrcEdqZXZIbGF0R2lSd3NMQ3RHZlBIdlhxMVVzbFM1WlU4K2JOZGM4OTkyajY5T21xVnExYXJ0OXZXRmlZQmd3WW9PWExsK3ZjdVhNNUJsRWJOMjdVWFhmZHBjakl5UHorR0F1dDdkdTN4M2k2Qmx4YmluSzdLNy84L1B5Y3oyTEdHRzNjdUZIdnZmZWVqaDA3cHRHalI2dEVpUkphdW5TcEZpNWNxSG56NXFsT25UcnEwS0dEV3Jac2VjbTl1TFBtZ3R1MWE1ZTJiOSt1RHovOFVGTG0zSHRoWVdHS2lvcFNzMmJOTHRvcml1ZEhYQ2tFVWY5UWJHeXNZbU5qbmVsenlaSWw1WEE0TkgvK2ZFMlpNa1gxNnRYVFN5Kzk1SEpPdVhMbHRINzllcTFZc1VKK2ZuNWF2SGl4eXBjdnI3Smx5enFEcUo0OWU3b3NjWDcwNkZHTkdUTkdJU0VocWxPbmpucjE2dVVjMHZMWVk0L3BxNisrVWtSRWhOcTBhYU92dnZvcXgwaytwY3hHNGRtelo1V1dscWJEaHcvbnVuS01KUDMxMTE4eXhtalRwazI2NmFhYkx2cldFMERCOVBISEh5czZPbHFTOVAzMzMrdjc3Ny9QZG96TlpsTkFRSUNLRnkrdWN1WEtLU01qUTIrKythWSsrdWlqYkJPQzc5dTNUeEVSRVRwMDZKQktseTZ0RVNOR0tEazVXZWZPblhNK3RQNWQxbnd5RjRaUk5XdldWSTBhTmRTb1VTUFZybDNiMmFoNjVwbG5kT0RBQVpmenN5WVJmdXl4eDdKZE95SWlRdTNidDllQkF3ZjAxVmRmcVZTcFVrcElTTkRxMWF2MTZLT1BxbS9mdnRxNWMyZU9QNXVFaEFSNWUzczc1K256OWZWMVR2UUpYQ3ZTMDlNVkdSbXBreWRQU3BJR0RScVU0M0grL3Y0S0NBaFFRRUNBS2xhc3FPM2J0MnYrL1BuWmxoMlhwQWtUSm1qKy9QbHlPQnc2ZVBDZ25uamlDU1VsSlNrcEtVbkp5Y25aWHVEdDJMRkRQWHYyMUpRcFU3S0ZVU2twS1NwZXZMaGlZbUtjYis3UG5qMnIxcTFiNi9YWFg1ZWZuNTkyN2RxbFR6NzVSSjk5OXBtV0wxK3U0T0JnUGZ6d3cycmR1clZ6NHR6dnZ2dE9QLy84czh1MW16VnJwazgrK1VSU1podEp5bHhGMDdJczNYTExMVXBQVDllOGVmTmN6bm5paVNlY1lUWUFYSzdrNUdUdDJyVkxtemR2MXJwMTYvVEhIMytvZlBueW1qeDVzbk4rcUVhTkd1blVxVk5hdVhLbG9xT2o5Y1liYjJqY3VIRjYvUEhIOWZqamorYzVETzZ2di83U1o1OTlwcVNrSk1YSHh5c2dJRUJENHF5SG5BQUFJQUJKUkVGVWh3NVZpeFl0WEY3QWRlblNSUysvL0hLdTkzT2VIM0UxRUVUOVF6Ly8vTFBlZSs4OWVYdDdxMlhMbGdvTkRkVnZ2LzJtYWRPbTZZNDc3dERJa1NPekpkWWRPM2JVamgwN25FTlB5cFVyNTN4STgvZjNWOFdLRmRXMGFWT1hibzNIangvWEw3LzhvdURnWUEwYk5zemxlbDVlWG5ybm5YYzBZY0lFZmZycHA2cGN1YktlZnZycEhPc2ROV3FVOXV6Wkl5bXp4OWJhdFdzditqM0d4TVNvVjY5ZU9VNCtDcURnYTlldW5lTGk0bFM1Y21WZGYvMzFLbG15cEVxVUtLRVNKVW9vS0NoSXhZc1hkeG5DSm1VT2RSaytmTGcrL1BCRDllalJ3MlZmaFFvVmxKS1Nvc3FWS3lza0pFUkJRVUhPNitYMHg5ZlhWeEVSRVJvMGFKQkNRME9kalpMYzNwbzk4OHd6U2t6TS93aVIyMjY3VFZKbXo5U0pFeWZLR0NNdkx5K0ZoWVhwMy8vK3QzYnUzS2s3Nzd3elg5ZjYrNklTd0xYQXg4ZkhHZGhXcmx4WnBVcVZVcWxTcFJRWUdLZ1NKVW9vTURCUXhZc1hkeG4ybHBxYXF2RHdjTTJZTVVOdDI3Yk5Oa3prK3V1dlY3Rml4VlMxYWxXVktsVktKVXVXelBOZXNYbnpabzBlUFZydnZmZWVCZzhlTEVrNmNlS0VPbmJzNkF6SXBNdzIwME1QUGFSMjdkcTVyQzVjcTFZdDFhcFZTeEVSRWZyaWl5KzBiTmt5elo0OVc3Tm56OWI4K2ZOVnMyWk5mZnZ0dDFxNmRHbWVQd3QvZjM5OThNRUhlUjd6MEVNUEVVUUJ1R3dwS1NucTBxV0w5dXpaSTRmRElTbXpMZE81YzJlMWJ0MDYyNmlXNjY2N1RsMjZkRkduVHAyMFpzMGFmZmpoaDRxS2l0THk1Y3YxOGNjZjUvZzFtamR2cnJKbHkrby8vL21QTE10UzQ4YU41ZTN0cmJObnoyYnJvZHEwYVZPMWF0VXExMUNMNTBkY0RRVnVyZFlxTmVyZEs4c3NLaEVVVlA3OVNlTjBSK09DUFRHa01VWjJ1MTFlWGw0dVEra09IanlZNjZwVHVIcSsrLzRIdlJJUnFST25UaVhJcU4yQlg3WnQ5SFJOdVBaVXFWcm5EdmxZeTBzRUJaV2ZPT1lkTmJzN2Z5RklRV0tNMGNjZmY2eUhIMzQ0eHpsWGtwT1RzNFZYZVRsNjlLaCsvdm5uZk0wLzhFOWxaR1RJc3F4Q0d5cHhIeXY2Q2x0Ykp6ZXhzYkh5OS9mUGNRaGNSa2FHakRHWE5Iems0NDgvMW4zMzNlY1M4aXhhdEVoLy92bW5xbGF0cXBvMWErckdHMi9NOS9VT0h6NnNIMy84TWNlZWxJVVo5d2pBVldHOHA2NVlzVUw3OSs5WHJWcTFWTDkrL1V1YTROc1lvNisvL2xyR0dOMXp6ejJYOUhWVFVsSnluSTh2NjNuMldzUTkxVFBvRWZVUFdaYVY0ME1hSVJTQXdzeXlyRHdYV2JpVUVFcktuQWk5ZlBueS83U3NmTG1jMWJjQVhMcXMzb2c1dVp4L2h6a3RHcERiVkFQNVViRmlSWWFGQUNpUTJyWnRlOW5uV3BhVjZ5SXdGNVBib2hEWGFnZ0Z6N240R28wQUFBQUFBQURBRlVBUUJRQUFBQUFBQUxjZ2lBSUFBQUFBQUlCYkVFUUJBQUFBQUFEQUxRaWlBQUFBQUFBQTRCWUVVUUFBQUFBQUFIQUxnaWdBQUFBQUFBQzRCVUVVQUFBQUFBQUEzSUlnQ2dBQUFBQUFBRzVCRUFVQUFBQUFBQUMzSUlnQ0FBQUFBQUNBV3hCRUFRQUFBQUFBd0MwSW9nQUFBQUFBQU9BV0JGRUFBQUFBQUFCd0M0SW9BQUFBQUFBQXVBVkJGQUFBQUFBQUFOeUNJQW9BQUFBQUFBQnVRUkFGQUFBQUFBQUF0eUNJQWdBQUFBQUFnRnNRUkFFQUFBQUFBTUF0Q0tJQUFBQUFBQURnRmdSUkFBQUFBQUFBY0F1Q0tBQUFBQUFBQUxnRlFSUUFBQUFBQUFEY2dpQUtBQUFBQUFBQWJrRVFCUUFBQUFBQUFMY2dpQUlBQUFBQUFJQmJlSHU2Z056WU0reUsrM20zcDh0QUlSUDM4MjZscDZkN3VneEFVdVo5N09mZGUrVG41K2ZwVWxDSWNCKzdkdERXd2VYZ0hnSGtqSHNxTGdmM1ZNOG9zRUZVY2txS0prMkxrbytQajZkTFFTR1NucDZ1TTRtSm5pNERrSlI1SDVzK2M1WjhmWHc5WFFvS0VlNWoxdzdhT3JnYzNDT0FuSEZQeGVYZ251b1pCUzZJU2pPT0k3NldkY1JoakgvQ21UT2VMcWRBc293c1NUS1dqS2RyS2JDTU9aWm16QkZQbDRGcms4TXl4MjNLdkkvOWRZWmZiTmtaV2NheUpNbGhqTEZzbHFjTEtwaTRqeFZadEhVdTV2L3ZFY1l5UnVJZWtTUHVFWUFrN3FuNXdmTmpQbkJQZGF1QytKdmRWcWxxclJvMmI1L3JQVjFJUWVUbjdiakZ6OXZXeVdaWlBzbnA5ZzlTTTJ6N1BGMVRRV1MzSENjUC9id2pUcExEMDdYZ21zUjlMQSsrWG82cUFiNWVYUnpHcEtla2ExYWFYUWM5WFZOQnhIMnNTT01la1FkZkwwZFZmeC9ic3piTDhrbEtzODlLczl2MmVycW1nb2g3Qk9ERVBUVVB2bDZPcXNXOHZmNXRXZkpPU3JlL3p6MDFaOXhUM2FzZ0JsSElRMWhZV0RQTHNoWWJZL3dsdFkySmlmblMwelVCd0tXb1Y2L2V2WlpsTGJjc0t5VWpJNlBkamgwN3Z2TjBUUUFLam5yMTZ0MXJzOWtXR1dQOGpUSHR0bTNidHRIVE5RRkFZY1h6SXdvaVZzMERBQUFBQUFDQVd4QkVBUUFBQUFBQXdDMElvZ0FBQUFBQUFPQVdCRkVBQUFBQUFBQndDNElvQUFBQUFBQUF1QVZCRkFBQUFBQUFBTnlDSUFvQUFBQUFBQUJ1UVJBRkFBQUFBQUFBdHlDSUFnQUFBQUFBZ0ZzUVJBRUFBQUFBQU1BdENLSUFBQUFBQUFEZ0ZnUlJBQUFBQUFBQWNBdUNLQUFBQUFBQUFMZ0ZRUlFBQUFBQUFBRGNnaUFLQUFBQUFBQUFia0VRQlFBQUFBQUFBTGNnaUFJQUFBQUFBSUJiRUVRQkFBQUFBQURBTFFpaUFBQUFBQUFBNEJZRVVRQUFBQUFBQUhBTGdpZ0FBQUFBQUFDNEJVRVVBQUFBQUFBQTNJSWdDZ0FBQUFBQUFHNUJFQVVBQUFBQUFBQzNJSWdDQUFBQUFBQ0FXeEJFQVFBQUFBQUF3QzBJb2dBQUFBQUFBT0FXQkZFQUFBQUFBQUJ3QzRJb0FBQUFBQUFBdUFWQkZBQUFBQUFBQU55Q0lBb0FBQUFBQUFCdVFSQUZBQUFBQUFBQXR5Q0lBZ0FBQUFBQWdGc1FSQUVBQUFBQUFNQXRDS0lBQUFBQUFBRGdGZ1JSQUFBQUFBQUFjQXVDS0FBQUFBQUFBTGdGUVJRQUFBQUFBQURjZ2lBS0FBQUFBQUFBYmtFUUJRQUFBQUFBQUxjZ2lBSUFBQUFBQUlCYkVFUUJBQUFBQUFEQUxRaWlBQUFBQUFBQTRCWUVVUUFBQUFBQUFIQUxnaWdBQUFBQUFBQzRCVUVVQUFBQUFBQUEzSUlnQ2dBQUFBQUFBRzVCRUFVQUFBQUFBQUMzSUlnQ0FBQUFBQUNBV3hCRUFRQUFBQUFBd0MwSW9nQUFBQUFBQU9BV0JGRUFBQUFBQUFCd0M0SW9BQUFBQUFBQXVBVkJGQUFBQUFBQUFOeUNJQW9BQUFBQUFBQnVRUkFGQUFBQUFBQUF0eUNJQWdBQUFBQUFnRnNRUkFFQUFBQUFBTUF0Q0tJQUFBQUFBQURnRmdSUkFBQUFBQUFBY0F1Q0tBQUFBQUFBQUxnRlFSUUFBQUFBQUFEY2dpQUtBQUFBQUFBQWJrRVFCUUFBQUFBQUFMY2dpQUlBQUFBQUFJQmJFRVFCQUFBQUFBREFMUWlpQUFBQUFBQUE0QllFVVFBQUFBQUFBSEFMZ2lnQUFBQUFBQUM0QlVFVUFBQUFBQUFBM0lJZ0NnQUFBQUFBQUc1QkVBVUFBQUFBQUFDM0lJZ0NBQUFBQUFDQVd4QkVBUUFBQUFBQXdDMElvZ0FBQUFBQUFPQVdCRkVBQUFBQUFBQndDMjlQRndBQXVHWVZzOWxzN2NMQ3d1cDV1aEJjRlJVY0RvZVB6V1k3NE9sQ1VMZ1lZMjZWVkV5UzhYUXRBQURneWlPSUFnQzRsYzFtc3h0ampLUlNOcHZ0UDU2dUIxZGU1djlleWN2THk4T1ZvREN5TEN2cnd6OXROcHZkazdVQUFJQXJqeUFLQU9CV0tTa3BlL3o4L0Q0eHh0em82VnB3ZFJoamJyQXNxL3I1UUdxZnBFTWVMZ21GMCs4cEtTbDdQRjBFQUFDNHNnaWlBQUJ1RlJjWGQ3UmV2WHF2cEtXbCtYdTZGbHdkUGo0K1QxdVc5YTVsV1RhNzNiNHdQVDE5cXFkclF1SGo2K3ViRWhjWGwrRHBPZ0FBd0pWRkVBVUFjTHR0MjdieGNGbUUxYWxUNTR4bFdjWVlJOHV5enNiRnhSMzFkRTBBQUFBb0dGZzFEd0FBQUFBQUFHNUJFQVVBQUFBQUFBQzNJSWdDQUFBQUFBQ0FXeEJFQVFBQUFBQUF3QzBJb2dBQUFBQUFBT0FXQkZFQUFBQUFBQUJ3QzRJb0FBQUFBQUFBdUFWQkZBQUFBQUFBQU55Q0lBb0FBQUFBQUFCdVFSQUZBQUFBQUFBQXR5Q0lBZ0FBQUFBQWdGdDRlN29BQUFBQUFBRHd6OVN0Vy9kK0x5K3Z6M0xhWjFtV0pHMnNYNysreTNhNzNmN285dTNiUDNGRGVZQVRQYUlBQUFBQUFDamtUcDA2dGNrWUU1L2Y0NDB4UjArY09QSDUxYXdKeUFsQkZBQUFBQUFBaGR6aHc0ZVRKYzJVSkdOTXJzZGw3Yk1zNjhQNCtQZ2t0eFFIWElBZ0NnQUFBQUNBSXNEaGNLeVFsR0paVm81aGxERW1hNWhlaWpHR0lYbndDSUlvQUFBQUFBQ0tBSWZEY2NBWUUzT3g0ODRmczljTkpRSFpFRVFCQUFBQUFGQUV4TWJHSmxxV3RTVzMvZWQ3UThteXJDMnBxYWtuM1ZZWWNBR0NLQUFBQUFBQWlvWU1ZOHhPWTh3NXlYV3VLR05NMXVmSnhwaVl1TGk0TkEvVmlHc2NRUlFBQUFBQUFFV0UzVzcvMnJLc1k3bnROOGFjc2R2dHVmYWFBcTQyZ2lnQUFBQUFBSXFJSFR0MjdIWTRITHV6aHVGZDBCTks1eWN4Mzd0ang0N2RucXdSMXphQ0tBQUFBQUFBaWhCanpOemM5bG1XRmVYT1dvQy9JNGdDQUFBQUFLQUlTVTlQWDIyTU9YWGh0dk85b1U0bkpTVXQ5MVJkZ0VRUUJRQUFBQUJBa1JJWEYzZFcwc3FzNFhsWkxNdjZkUGZ1M1ltZXFRcklSQkFGQUFBQUFFQVJZN2ZiWnhoam5DdmpHV1BTN0hiN1BFL1dCRWdFVVFBQUFBQUFGRVcvU1RwZ1daYk85NHphWTdQWm1LUWNIa2NRQlFBQUFBQkFFWFA2OU9sRVk4eFc4LysySlNZbS91bnB1Z0NDS0FBQUFBQUFpcGpEaHc4blM5cHNXVmFxcEhSSm0vZnUzWHZHdzJVQjh2WjBBUUFBQUFBQTRNcXpMR3VMcEJPV1pRVkkydUxwZWdDSkhsRUFBQUFBQUJSSk1URXhQMGphSytuZytZOEJqNk5IRkFBQUFBQ2cwQXE1cGZhTnZqN2V0M2k2am9JcU5kMnhUVEsrVldyVXU5ZlR0UlJVcWFtcCs0L3MvL21ncCt1NFZoQkVBUUFBQUFBS3BTcFY2bFdSajVrdHk5VHdkQzBGVlZLR0xFbVNaUjczY0NrRmxwKy83KzlWcXRRTFAzQmcyd0ZQMTNJdElJZ0NBQUFBQUJSTy9xb2lTelVzV2VVRGloV1RsN2VYcHl0Q0lXTFBzQ3M1SlVVT1kvemxyeXFTQ0tMY2dDQUtBQUFBQUZDb0JSUXJwbGRmNmFuUW10VTlYUW9La2JpZmQydlN0Q2dsbkdFeFFYY2lpQUlBQUFBQUZHcGUzbDRLclZsZGR6UnU2T2xTVU1qNCtQaDR1b1JyRHF2bUFRQUFBQUFBd0MwSW9nQUFBQUFBQU9BV0JGRUFBQUFBQUFCd0M0SW9BQUFBQUFBQXVBVkJGQUFBQUFBQUFOeUNJQW9BQUFBQUFBQnVRUkFGQUFBQUFBQUF0eUNJQWdBQUFBQUFnRnNRUkFFQUFBQUFBTUF0Q0tJQUFBQUFBQURnRmdSUkFBQUFBQUFBY0F1Q0tBQUFBQUFBQUxnRlFSUUFBQUFBQUFEY2dpQUtBQUFBQUFBQWJrRVFCUUFBQUFBQUFMY2dpQUlBQUFBQUFJQmJFRVFCQUFBQUFBREFMUWlpQUFBQUFBQUE0QllFVVFBQUFBQUFBSEFMZ2lnQUFBQUFBQUM0QlVFVUFBQUFBQUFBM0lJZ0NnQUFBQUFBQUc3aDdla0NrTHY2OWVzM2w3UWhwMzJXWlVuU3h2cjE2Lzk5MTRNLy9mVFRaMWU1TkFBQUpFbjE2OWZ2S1dseVR2c3N5NUpsV2FQcTE2OC82bSs3QnY3MDAwOXZYLzNxQUFBQVVORFFJNm9BTzMzNjlMZkdtRVA1UGQ0WTg4ZnAwNmUvdkpvMUFRQndvZDkvLzMyZU1jYWUzK01kRG9kai8vNzlVNjVtVFFBQUFDaTRDS0lLc0FNSERxUkltaTFKeHBoY2o4dmFaMW5Xd3ZQbkFBRGdGaWRQbmt5VXRGSEszKzhxbTgyMjdjOC8vL3pMTGNVQkFBQ2d3Q0dJS3ZpV1NVcTJMQ3ZIQnI0eEptdVlYckxkYmwvbDd1SUFBTWpJeUhndjYvZFJYcityakRIS3lNaFk1SUVTQVFBQVVFQVFSQlZ3R1JrWnZ4dGp0bDNzT0dQTU5wdk45cHM3YWdJQTRFS0ppWWt4a2hMeWNlZzVZOHczVjdzZUFBQUFGRndFVVFWY2JHenNHVW1iemZsWHpCZSthYzc2K1B5K3pUYWI3WVFuYWdRQVhOc09IRGh3d2hpejdZTGZTODU5Zjl2MjIvSGp4M2Q0b0VRQUFBQVVFQVJSQlovZDRYRHNsSFF1dHdNc3kwcHhPQnd4UC83NFk3b2I2d0lBSUl2ZEdQUFR4UTV5T0J4Ymp4MDdsdXZ2TXdBQUFCUjlCRkdGZ0RIbVc4dXlqdWV4LzR3eFpxczdhd0lBNEVJT2gyT1ZwTFE4RGpGMnUzMlp1K29CQUFENTk5ZGZmeWtoSVQrajdDK2R3K0ZRYkd5c1RwNDhtVFZmNUZYNU9pZzhDS0lLZ1IwN2R1dzJ4dXc4UHltNWpERVhycFFuWTh6UE8zYnMyTzNKR2dFQTE3YlkyTmd2alRISGMvdGQ1WEE0enUzY3VYTzFKMnNFQU1EZDdIYTc5dS9mNzdMdHp6Ly8xSUlGQzVTYW1ucloxNDJPamxhREJnMzB5Q09QeUc2My82TWFUNTQ4cWRhdFcydkNoQW1YZEY1VVZKUmF0V3AxMGVQUzA5UFZ1WE5uclZtelJ0T21UVlAzN3Qydld1aUZ3b0VncXBCd09Cd0xjOXRuV2Rac2Q5WUNBRUJPSEE3SGYzUGJaN1Bab3QxWkN3QUFCY0hxMWF2MXIzLzlTNTk5OXBsejI1NDllelIyN0ZpdFhMbnlzcTY1ZWZObWpSa3pSdFdxVmRPeFk4YzBac3lZUEkvUHlNalFnUU1IY3Yxejl1eFoxYTFiVng5Ly9MRysrKzY3UEk4OWRlcVU4N3JHbUh5RllENCtQczZQSDM3NFljWEh4NnRqeDQ0NmZQandaWDMvS1B5OFBWMEE4aWM5UFgyMXpXWTdKZW02ckczbmUwT2RUa3BLV3U3QjBnQUFrQ1NkTzNkdWRGQlEwS3RXVnJjb09YOVhtWk1uVHc3eVpHMEFBTGhiZW5xNm9xS2lGQndjckh2dnZkZTV2WEhqeHJyMTFsczFkKzVjdFczYlZyNit2dm0rNXJadDJ6Umd3QUJWclZwVlVWRlJXckpraVNaTm1xUnk1Y3FwUzVjdU9aNXo2dFFwUGY3NDQvbTZmcytlUGZQYzM2RkRCdzBZTUNEZjlVcVN6V2JMYWcrb1NwVXFtak5uam1iUG5xM3k1Y3RmMG5WUWRCQkVGUkp4Y1hGbnc4TENsbGlXMWUzQzFZZ3N5MXExZS9mdVJBK1dCZ0NBSkduZnZuM0h3OExDZGxxV2RkdUZ2NnNrSFRoMDZGQzhwK29DQU1BVFpzNmNxU05Iam1qSWtDSHk4L056MmZmaWl5K3FmLy8rbWpoeG92cjE2NWV2NjIzZXZGbjkrdlZUY0hDd0prK2VyTURBUUhYdTNGbjc5Ky9YbENsVGRPTEVDZlhyMTA5ZVhsNHU1MTEzM1hWYXVOQjFnTTNwMDZjMWE5WXM5ZWpSUXdFQkFTNzdIQTZIWnMyYXBmYnQyNnRNbVRJdSswcVhMcDFyZmJHeHNSbzNibHlPKzR3eGlvNk8xcGRmZnVuYzFyVnJWdzBmUGx3VktsVEkxL2VQb29NZ3FoQ3gyKzF6dkx5OG5wZmtLMG5HbURTSHc3SEl3MlVCQU9Ca3Q5dEhlbmw1T1Z1N3hoZzVISTc1bnF3SkFBQjMyN1ZybDJiUG5xMkdEUnZxMFVjZnpiYS9lZlBtYXRXcWxSWXRXcVRiYjc5ZGQ5OTlkNTdYVzd4NHNjYU5HNmVxVmF0cTh1VEpMb0hRa0NGRDVPdnJxK2pvYU8zZnYxK0RCdzlXU0VpSWM3KzN0N2VxVjYvdWNyMmZmLzVac2JHeG1qZHZuc2FPSGFzTE9qTnIzcng1K3Z6enoxV2pSZzM5KzkvL3psWkxURXlNamh3NW9qMTc5aWd0TFUxcjFxeVJaVmtxV2JLa3RtL2ZyaFl0V2lnd01ERGIxd3NLQ2xLVktsVmN0bDlLYnpBVUhRUlJoY3R2bG1YOUpxbUdKQmxqZmtsUFQvL0Z3elVCQU9DVWxwYTJPU0FnSUVXU3Z5UTVISTdVakl5TWpSNHVDd0FBdHpsOStyUWlJeVBsNStlbm9VT0h1b1E4RjRxTWpGUk1USXdpSXlNMWJ0dzROVzdjT05zeGYvMzFsNFlORzZhTkd6ZXFjZVBHZXZmZGQ3T0ZQRGFiVFFNSERsUzVjdVVVRlJXbEo1NTRRaSs5OUpMQ3c4TmRncDZ6Wjg4NlY2eTc0WVliOU1JTEwyajkrdlU2ZVBDZ1NwVXFKVWs2Y3VTSXBrMmJwcnZ1dWt2dDI3ZDNtVlE4NjVpRkN4ZnE4ODgvZDI0Zk5HaVFiRGFiYzdMekhqMTZaQXVjdG16Wm9rYU5HaWtpSWlMZlAwY1VYUVJSaGNqcDA2Y1R5NVl0KzZObFdkVWx5UmdUbTVhV3huSURBSUFDNDlTcFV5ZjkvUHdPMkd5Mkd1YzNuVWhLU3RybjBhSUFBSENUbEpRVTllN2RXL0h4OFJvNWNxUnV1T0dHWEk4dFZhcVVwa3lab2hkZmZGRzllL2ZXMjIrL3JmdnV1MDlTNXZDNDVjdVhhK3JVcVVwSVNOQWRkOXloQng5OFVGOTk5Vld1MTZ0WXNhTGF0Mit2cjcvK1d1UEhqOWVISDM2bzhQQndkZWpRUVVGQlFZcU1qTlRtelp1em5aZlQvRkZmZi8yMVdyWnM2Ykx0MjIrL2xaK2ZuMGFOR2lXSHc2RVpNMmJvbzQ4KzB0cTFhMlZabHJaczJaSnJiWUdCZ1VwT1RzNTFQNjR0QkZHRnlPSERoNVBMbGkyNzJiS3N4NDB4TmttYjkrN2RlOGJUZFFFQWtPWEVpUk5uUTBKQ3Z0TDUzcnVTZnR5L2YvOUJUOVlFQUlBN25EMTdWbjM3OWxWY1hKeTZkZXVtKysrLzM3bHZ6NTQ5eXNqSVVNMmFOVjNPeVJwcTE3MTdkL1hyMTAvdDI3ZFgzNzU5TlduU0pFVkhSeXM0T0ZnVEowN1U5OTkvcjZGRGgxNjBCaDhmSDYxZnYxNHpaODdVNHNXTHRYRGhRclZyMTg2NXYwNmRPbnJsbFZlY24vLzY2NjhLQ1FseDlySTZmZnEwRGg0OHFMQ3dNT2N4bXpadDB0eTVjNTJmMjJ3MjV4OHBjK2pmaGI3KyttdnQzcjNiK1htclZxMFVGQlNrTTJmKy85SDExVmRmVlpNbVRmVEVFMDljOUh0QzBVTVFWY2c0SEk3Tk5wdnR1R1ZaQVhhN1BYdWNEUUNBaHprY2pqVmVYbDVkakRIZURvZURsVjBCQUVWZVltS2l1bmJ0cWw5Ly9WVWRPblJRMTY1ZFhmYVBHREZDc2JHeFdyUm9rVzY5OVZhWGZiVnExZEs4ZWZNVUVSR2haY3VXcVh6NTh2by85dTQ5dnVmNi8vLzQvZlhlMlRhSE1NdHh5am5rbktZRG9VOGZTblN3a0VpeU1LRmhHT1lZeWpsTGhPUlF3dGZ4UTFGVUg0bU0xbWZrT0JHTFNSOFRPNzIzOTk2djN4OCszai92ZGpDSDNodHUxOHRsbDk3djErdjVlcjRmcjJWNzdYMS9QMS9QWjgrZVBlWHQ3YTJlUFh2SzE5ZFhUWm8wVVdobzZEWHJNQXhEUGo0K0dqQmdnRHAyN0tqRXhFU25DY2VMRmkzcUNKbDI3TmloV2JObTZja25uMVJVVkpRa2FmYnMyZnJvbzQvVXFWTW45ZXZYVDE1ZVhqcHg0a1MrdmdkWGJ2dWJNMmVPSkNrckswdVptWmxxMWFxVmloY3Y3Z2lpamgwN3BtKy8vVloxNjliTlY3KzQ4eEJFM1diaTR1SitiTkNnd1RGSnhlTGk0bjRzNkhvQUFQaXJmZnYycmF0ZnYvNEZTZjV4Y1hFZlgvTUFBQUJ1YzM1K2ZxcFRwNDZDZzRQVnIxOC9wMzNidG0zVHZuMzc5TXd6ejJRTG9hNElDZ3JTNHNXTHRYVHBVblh2M2wxdWJtN3EzNysvWTcrSGg0YzhQRHl1cTZheVpjczZUVnArdFJVclZtaktsQ2tLRGc3V2tDRkRITnY3OU9ramYzOS92Zi8rKzlxMWE1Y21UcHlZNzllN0VrU3RYYnRXcFV1WDFycDE2elIyN0ZpNXVibXBSSWtTamtCcjVjcVY4dlgxMVFzdnZIQmQ1NE03UjZFTW9zcmVYN3VDcDRmNy9RVmRSMkdWYnJQdnRjajBES3BScjNsQjExSllXYTNXNDJlT0grUldFQUIvRzY1VmViTmxtYnNOUTBXNVZ1V09heFVBM0RrTXc5RHc0Y096YmJkYXJab3hZNGFLRlN1bUFRTUc1Tm1IcjYrdjA2aW5Uei85VktacDNsUmRkZXZXVmUzYXRSM1BNekl5Tkh6NGNHM2V2Rm5Cd2NFS0NRbFJYRnljMHpFMWF0UlFyMTY5dEdMRkNuWHIxazNkdW5YTDEydWxwS1JJa254OGZDUmRudWZxeW0xN0FRRUJPbmZ1bkJJVEU3VjI3VnAxNnRRcDI2VHJ1SHNVdWlBcUtLaGVrRHpNajJTWU5hN2QrdTZVbHFuTHl5NFlac2NDTHFYUTh2TDJQQmtVVkMva3hJbWY4amVPRkFDdUE5ZXFhMHUybWhZWmtnemowNEt1cGJEaVdnVUFkNzVGaXhicHQ5OStVMVJVbEdQVk9kTTB0WExsU2hVdlh0eHBIcW0vbWoxN3RyS3lzckp0dDlsc01rMVQ3dTd1dWE3SWQwVm9hS2hURU9YaDRTRjNkM2VOR3pkT2UvYnNjZHgrZDdVcnQ5UnQyTEJCTVRFeHN0dnQxenpQNDhlUEt5a3BTVzV1YnZMMTlYWFVlV1VVVjlteVpaV2NuS3lKRXlmSzI5dGJyN3p5eWpYN3hKMnIwQVZSOGxhUUROVXdaQVFXOGZHUm03dGJRVmVFMjBpV0xVdHA2ZW15bTZhM3ZCVWtpVC91QWR4NlhLdHdFN2hXQWNEZElUNCtYZ3NYTHRURER6K3NkdTNhT2UzYnRtMmI5dS9mcityVnE2dFNwVW81SHI5ang0NXMyeElTRXRTbFN4Y0ZCUVZwM3J4NTJVS2thekVNUTJQSGpwVWs3ZG16UjNYcjF0WENoUXVkMm16ZXZGbkRodzlYeVpJbDlleXp6MnJObXV6VFBTWW5KeXN4TVZFcEtTbHEwNmFOTGw2OHFMWnQyeW9nSU1BUmpsbXRWa2Q5Vjg3eHUrKytVMFJFaEVxVUtIRmRkZVBPVXZpQ3FQOHA0dU9qdDk3c3ExbzFxeGQwS2JpTkhEaDRXTy9ObWFjTEYxbE1FTURmajJzVmJnVFhLZ0M0ODJWa1pHalVxRkh5OC9QVG1ERmpuUFlaaHFIUm8wY3JKQ1JFRVJFUit2ampqL01WS0tXbnAydlFvRUh5OC9QVHRHblRITWY4OGNjZkdqcDBxTUxDd2xTdlhyMi81WHl1Tm1MRUNHM2V2RmwydTEyK3ZyNnFXN2V1bWpkdnJpVkxsdWorKy8vL3JBVkpTVW55OXZhV0pBVUdCa3FTcWxhdHF1ZWZmMTZTOVBYWFgrdVJSeDY1N3JtdmNQc3J0RUdVbTd1YmF0V3NycVpOR2hWMEtiak44SXNNZ0t0d3JjS040bG9GQUhlMnlaTW42L0RodzVveFk0WktsaXlaYlg5Z1lLQUdEeDZzcUtnb1RaczJUY09HRGN1elA1dk5wb2lJQ0NVbUptcisvUGxPZlhwNWVTa2pJME45K3ZUUjVNbVQ5ZWlqaithN3pxU2tKRzNhdE1scDI3NTkrL0k4eHQvZlgwOC8vYlJhdFdxbGh4NTZTTzd1N2pweDRvUU9IVHFrWHIxNktUbzZXb1poYU5XcVZXcllzS0ZTVTFNMWFOQWdTWktucDZmYzNOeVVrcEtpUVlNR0tTb3FLdHRvTWR6NUNtMFFCUUFBQUFEQTdTUTFOVlh2dmZlZTFxNWRxeVpObXNqUHowKzdkdTFTV2xxYTB0UFRIVjlwYVdsS1RVMlZuNStmVnExYXBlYk5tK3ZoaHgvT3NjOHJvNnYyN3Qyck9YUG1xRXFWS281OWRydGRobUZvekpneEdqQmdnTUxEd3pWKy9QZzg1NTY2V21KaW91Yk9uWnR0ZS9ueTVXV3hXQnpuSk1ueFBDSWlJbHY3ZWZQbXljUERRODgvLzd5NmQrK3UxTlJVVmF0V1RhKysrcXI2OSsrdm4zLytXWTgrK3FpMmI5K3V6ei8vWEpVclY1WWtsU3RYTGw5MTRzNUNFQVVBQUFBQXdDMndZY01HclZpeFFwSzBlL2R1N2Q2OU8xc2JpOFdpSWtXS3lOZlhWNlZMbDViTlp0T1lNV08wY3VWSytmdjdPN1U5ZHV5WXdzUERkZXJVS1pVb1VVSVRKa3hRV2xxYVVsSlNIT0hXWDBWR1JrclNOY09vZSs2NVI4MmJOOWZFaVJPZHR0dHNOdTNhdFV0cjE2NVZVbEtTL3UvLy9rK2xTNWZPZFRUdjk5OS9yODJiTjZ0VHAwNHFWYXFVL3ZXdmYwbTZQTEpxNk5DaE9uLyt2TjU1NXgwRkJ3ZXJjK2ZPR2oxNnRBSUNBbVN4V0p4Q05kdzlDS0lBQUFBQUFMZ0ZPblRvb0FNSERxaFNwVW9LQ0FoUXNXTEZWTFJvVVJVdFdsVCsvdjd5OWZXVmo0K1AwekZyMTY3VnVISGp0R1RKRXZYcDA4ZHBYN2x5NVpTZW5xNUtsU3FwYk5teTh2ZjNkL1NYMDVlbnA2ZkN3OE0xY3VSSTFhcFZTK1hMbDgrMTFyQ3dzQnkzdTdtNUtTb3FTaGN1WEpBa2xTbFRSb01IRDg2MW4wT0hEcWxNbVRKNjQ0MDNuTGFmT25WS1JZb1UwWXdaTTFTMWFsVkpVblIwdE1hT0hhdlkyRmgxNmRKRnhZb1Z5LzJiaVRzV1FSUUFBQUFBQUxlQXA2ZG50c25KcitYWlo1K1Z4V0pSbXpadHN1M3o5dmJXbWpWcnNvVlhlWms5ZTdZT0hqeVlMWVFhT0hDZ1kwVzd2QmlHb2ExYnQrYjc5WHIwNktGMjdkckp6OC9QYVh1Yk5tMzB6My8rMCtrMUF3TUQ5Zjc3NytlN2I5eVpDS0lBQUFBQUFDZ2dobUhrT1dIMzlZUlEwdVd3NThvcWRWZTdla1c3VzYxVXFWSTViczlQOElXN2o2V2dDd0FBQUFBQUFNRGRnU0FLQUFBQUFBQUFMa0VRQlFBQUFBQUFBSmNnaUFJQUFBQUFBSUJMRUVRQkFBQUFBQURBSlFpaUFBQUFBQUFBNEJJRVVRQUFBQUFBQUhBSmdpZ0FBQUFBQUFDNEJFR1Q2YUlzQUFBZ0FFbEVRVlFVQUFBQUFBQUFYSUlnQ2dBQUFBQUFBQzVCRUFVQUFBQUFBQUNYSUlnQ0FBQUFBQUNBU3hCRUFRQUFBQUFBd0NVSW9nQUFBQUFBQU9BU0JGRUFBQUFBQUFCd0NZSW9BQUFBQUFBQXVBUkJGQUFBQUFBQUFGeUNJQW9BQUFBQUFBQXVRUkFGQUFBQUFBQUFseUNJQWdBQUFBQUFnRXNRUkFFQUFBQUFBTUFsM0F1NkFBQjNOdE0wellLdTRWb013ekFLdWdZQUFBQUF1QnN3SWdvQUFBQUFBQUF1UVJBRkFBQUFBQUFBbHlDSXdnMUxUazVXV2xwYVFaY0JBTGdOWkdWbDZjS0ZDMHBQVDgrMXpZVUxGNVNhbXBxdi9wS1NrblFiM1BrTEFBQ0F2eUNJdWs1WldWazZmdnk0MDdha3BDUXRXN1pNVnF2MWh2dGRzV0tGR2pac3FMWnQyeW9ySyt0bXkzU0ppSWdJVFpzMlRlbnA2YkxaYkFWZERtNFRtWm1adDZ5dml4Y3ZYck9OMVdyTjg0MHZjS2M2ZGVwVXR1dFNURXlNdG0vZmZzTjlYcng0VWUzYnQxZkRoZzIxWnMyYTZ6cDI4ZUxGYXRteXBVNmNPSkhqL3UzYnQ2dGx5NWJhdG0zYk5mc3lUVk85ZS9kV3YzNzlKRjMrdlpLYW1wcm5GeCtjQUFBQUZBNU1WbjZkTm03Y3FERmp4dWp0dDkvV1AvN3hEMG5TMGFOSE5XM2FOSGw0ZUtoang0N1gzZWZPblRzMVpjb1VWYTFhVmZIeDhab3laWW9pSWlLdWVkeFRUejJsUzVjdVhmZnJYZEc5ZTNlOS92cnJrcVNRa0JBbEp5ZG5hek4zN2x5bHBhWHAzTGx6VHRzclZhcmtlRHhnd0FBMWJ0eFlyNzMyMmczWFVvaTUxNmxUSjlnd2pMMXhjWEVwQlYzTTdTNHJLMHVkT25YU3d3OC9yUER3Y0tkOXljbkpTa25KL1Z0c0dJWUNBZ0ljeisxMnUxNSsrV1UxYXRSSW8wYU5jbm9OTnpjM3gvTVJJMGJvOTk5LzE4Y2ZmK3pZbHBHUklROFBEekZIT2U1VU5wdE5ZV0ZoOHZEdzBNcVZLeDMvMWovNDRBUDk5dHR2MnJCaGd6dzhQSzY3enlGRGh1ajA2ZE82Nzc3N05HdldMRFZvME1EcGVwQ2JoSVFFTFZ5NFVEVnExTkQ1OCtmMS9mZmZPKzF2MHFTSm9xT2o1ZXZycTJMRmltWGI3K25wcVVhTkdqbWViOW15UlVlUEhsV2ZQbjBrU1hQbXpISDZHYytKaDRlSGR1M2FsZC9UQlFEY1pySnNXVHB3OEhCQmw0SGJ6SUdEaDIvcEIrWElINEtvNjVDWm1hbDU4K2FwVEpreWF0Njh1V043a3laTlZLMWFOWDM4OGNkcTM3NjlQRDA5ODkzblR6LzlwSWlJQ0ZXcFVrWHo1czNUcWxXcjlONTc3NmwwNmRMcTBhTkhuc2VHaElRb0l5TWp4MzNidG0xVGZIeThYbnZ0TmFjMzVWZXJWNitlNDNGaVlxS2FOR21pb0tBZ1NaZmZjQ3hldkZnMm0wMHJWcXpRcGsyYm5JN3QzYnUzcE11ZlNyLzg4c3NhTW1TSTJyWnRxOERBd0h5ZmV5SGxWcTllUGYrc3JLd0tGb3VscmNWaTZXa1l4djJtYVFaSklvaTZTZXZXcmRQeDQ4ZjE4c3N2NjhDQkE1S2tZc1dLcVZ5NWN2cmdndy8wNmFlZjVucXNqNCtQdnZ2dU84ZnpIVHQyNkxmZmZ0UGd3WU1kMjVZc1dhSXRXN1pvd1lJRmVmNGN2dnZ1dXpwMDZKRG16cDJySWtXSzNJSXpBd3FYOWV2WEt5RWhRUkVSRVU2QmE5ZXVYUlVlSHE3MTY5ZnIrZWVmejNkL05wdE5JMGVPVkV4TWpNYU9IYXZnNEdDOS9QTExldlBOTngzWHhkeWtwYVZwNk5DaHlzckswbi8vKzErTkhUczJXNXMyYmRybzZOR2pLbDI2dENaTW1KQnRmNmxTcGJSMDZWSkpsMGM1enBvMVMwODg4WVFlZSt3eFNWSzdkdTFVdjM1OVRabzBTVUZCUVhycHBaZWNqcDh5Wllyc2RudSt6eGNBY1B0SlMwL1hlM1BtWGZjSExiaTdaV1ptNnVKTkRPN0FqU0dJdWc3ejU4L1htVE5uRkJVVkpTOHZMNmQ5cjcvK3VnWVBIcXhaczJacDBLQkIrZXB2NTg2ZEdqUm9rTXFVS2FQWnMyZkx6ODlQM2J0MzEvSGp4eFVkSGExejU4NXAwS0JCdVFaSnI3NzZhcTU5bnp4NVV2SHg4ZXJWcTVmYzNmUDN2L2tmLy9pSFdyWnNLYnZkTHF2VnFzV0xGMHVTSWlNakZSa1ptYTM5cmwyN2xKV1ZwVWNlZVVUbHlwWFRqaDA3cnV1TlRXRlNyMTY5SUVuTkxCWkxQZE0wRzd1N3V6Y3lETU8zb091Nmt5UW5KMnZ1M0xueThQRFF1KysrSzBsS1QwOVhtelp0Tkc3Y09IWHYzbDN0MjdmWHNtWEx0SHYzYnMyY09kTng3TXFWSy9YdHQ5ODY5ZmZaWjUvSjM5OWZIaDRlK3VHSEh5Ukp0V3ZYVm5SMHRHYk1tS0VoUTRia1dNZk9uVHUxZXZWcWhZU0VFRUxoam5UKy9IbEZSMGVyZlBueWV1NjU1NXoyUGZiWVk2cGF0YXBtelpxbDRPQmczWHZ2dmRmc3oycTFLaUlpUXR1M2IxZDRlTGphdG0wclNabzJiWnA2OWVxbFYxNTVSVE5tekZETm1qV3pIWnVhbXFydzhIRDkrdXV2V3JCZ2dVelQxS3hac3pSbXpCaEhlUFhERHorb1Q1OCs2dHk1cy9yMzc2OUJnd2FwVFpzMmV2TEpKM09zWitIQ2hVcEpTVkZFUklSTTAxUlVWSlNhTjIrdUo1NTRRak5tekZDWk1tWDA2S09QT3RydjI3ZFBDUWtKR2o1OGVMNi9od0NBMjBlR2FUL2phUmhuN0ticGZTRWYwellBT1RMTnN4bW1lYWFneTdoYkVFVGwwODgvLzZ5UFB2cElqUm8xMGpQUFBKTnQveE5QUEtIV3JWdnIwMDgvMVVNUFBlVDBSM0JPbGk5ZnJ1blRwNnRLbFNxYVBYdTJTcFFvNGRnWEZSVWxUMDlQclZpeFFzZVBIOWVvVWFOVXRtelo2NnIzeWllL3VZVll1ZG02ZGF2ZWZ2dHQvZXRmLzdwbVc4TXdIUE5aZmZMSko3ZmRwdzlWcWxUeEtscTA2Sk9tYVhhWFZOY3dqQURUTlAyTi93MGZNRTJUVzdkdW9haW9LQm1Hb1MrKytFTEZpeGZYbGkxYk5HTEVDSFhvMEVIUzVSRVBwVXFWVWxKU2tpcFhycXdxVmFvNGp2WDA5SlN2Ny8vUEJYLzg4VWZ0M0xsVGt0UzNiMS9IOWlWTGxpZzBORlN6WjgvV280OCtxb2NmZnRpcGh0OS8vMTBqUm94UXpabzFOV0RBZ0wvemRJRUNNMzc4ZUYyNGNFR1RKazNLOWtHRXhXTFIyTEZqMWJWclZ3MGZQbHdmZnZoaG5oOVduRDU5V3NPR0RkUFBQLytzeU1oSXAyQ3JldlhxbWp0M3JzTEN3dFN6WjArRmg0ZXJRNGNPVHI4M1o4NmNxWU1IRDJyV3JGbXFXYk9tWTg2Mk45NTRRNTk5OXBuT25UdW50V3ZYNnRWWFgxWHYzcjNsNXVhbXBrMmJhdmp3NGJyMzNudFZwMDRkcDNvT0hqeW9SWXNXYWZUbzBTcFZxcFJXclZxbGpSczNxa1dMRnBJdVgvditPb0g1dkhuekZCZ1lxR2VmZmZhR3Y2Y0FnTUxyOU9HNG94V3JQUEN5eGQwajROcXRnWnhsR2VZZnB3L0ZIUzNvT3U0V0JGSDVjUDc4ZVEwZE9sUmVYbDRhUFhwMHJ1SEUwS0ZERlJzYnE2RkRoMnI2OU9scTBxUkp0alovL3ZtbnhvNGRxMisrK1VaTm1qVFJ1KysrS3o4L1A2YzJGb3RGa1pHUktsMjZ0T2JObTZjWFgzeFJiN3p4aGtKQ1F2SjkyNS9OWnBPYm05dE5CeWxidDI3VndvVUxjOXlYa1pFaHd6QzBkZXRXeDdhTkd6ZXFlUEhpTi9XYWY1ZWdvQ0R2RWlWSytHZGxaVlZ3YzNQckxxbWpwREtHWWNnMFRjZWJGMVpodXZVKyt1Z2pmZlBOTnhvNGNLQk9uejZ0dzRjUGE5eTRjV3JUcG8yOHZiMlZrSkNnOHVYTEt6NCtYdDkvLzcxR2pCaWg1T1JrK2ZuNUtTVWxSWHYyN0ZIcDBxVWxYZjYzUFduU0pOV3BVMGZ2di8rKzArdDRlM3VyV3JWcTJyOS92M3g4ZkxMVjhlZWZmNnBDaFFxYU9ISGlkZDFDQzl3dUZpOWVyRysvL1ZZaElTRnEzTGh4am0ycVZhdW0wTkJRUlVkSGEvRGd3Wm84ZVhLT1B3OWJ0MjdWMkxGalpiUFpOSG55WkxWczJUSmJteG8xYW1qQmdnVUtEdy9YaEFrVHRHblRKZzBkT3RRUkpQZnIxMC9QUHZ1cy9QMzlkZXJVS1VuU1cyKzlwVE5uenVqczJiT0tqNC9YbGkxYkZCVVZwZE9uVDB1U21qVnJKamMzTnhVdlhseW5UcDJTbDVlWEFnSUNaTFZhTldqUUlKVXFWVXAvL3ZtbkZpMWFwRVdMRnFsTm16Wk9RZFJQUC8za3FPL2d3WVA2L3Z2dkZSa1ptZS9Sd1FDQTI0NzlaUHpQQnlRZEtPaENBT1FQZjVWZFEzcDZ1dnIzNzYvVHAwOXI0c1NKZWQ3R1VMeDRjVVZIUit2MTExOVgvLzc5OWZiYmJ6djljYnhtelJxOS8vNzd1bkRoZ3BvMmJhcW5ubnBLLy83M3YzUHQ3OHB0RmQ5OTk1MW16SmloSlV1V0tDUWtSQjA3ZHBTL3YzK2VkVnV0MWx2eVIzZWRPblUwZnZ4NHgvTXpaODZvUklrUzh2YjIxdEtsUzVXWm1lbDBpK0RWbzFZS2k3cDE2ell3RENQWVlyRTBrZFRRM2QzOVBrbmVVczZoVTA3aG5XRVlUZXZWcTFmNTc2NzFUbVcxV2xXK2ZIbTk5OTU3S2xHaWhKS1RrNVdWbGFWZHUzYnBxNisrMHNNUFA2ek9uVHRyMkxCaGF0eTRzZHEyYmF0WFgzMVZodzRka21tYXN0dnRqZ25KTjIzYXBCTW5UbWpwMHFYWmJxMUxUazdXcEVtVDVPUGpvMVdyVm1uVnFsVTZjT0NBMHRQVE5XTEVDRW1YZjY2aW82UDF5Q09QNkttbm5wSWsxYXRYcjdtQTY1Q2FtVlUxSTZ0d2paamNzbVdMWnM2Y3FabzFhK3JOTjkvTXMyMlBIajEwNXN3WnJWNjlXZ01IRHRUa3laTWRINHFjT25WS1U2ZE8xZmJ0MjFXMmJGbTFhdFZLVnFzMTIxeUJWK3ZjdWJNMmJ0eW8yTmhZaFlTRXFGbXpadXJXclpzYU5teW8rUGg0alJrekpzOTY4dHJmb0VFRGZmamhoL0x5OHRLOTk5NHJ1OTJ1UFh2MmFOZXVYU3BhdEtqVDRoNnBxYWs2Zi82OGpodzVvbXJWcW1uUG5qMlNwS2xUcDJycTFLbVNMdDlTK05CREQrVlpEd0FBQVA0K0JGRjVTRTVPMXNDQkEzWGd3QUdGaG9ZNnpWZHg5T2hSMld5MmJITmlYTG5Wcm5mdjNobzBhSkNlZSs0NURSdzRVTys5OTU1V3JGaWhNbVhLYU5hc1dkcTllN2RHang1OXpSbzhQRHowMVZkZmFmNzgrVnErZkxrKytlUVRkZWpRUVk4Ly9yaHNObHV1eDJWa1pNaHV0NnRaczJaNTl0K3JWeTkxNjliTmFkdlZRVXhBUUlCakFuTkphdHEwcWNhUEg2OFdMVnJvMy8vK3Q4NmVQZXNJMndvWFV6NGVlcXArL2ZwRERNTjRRRktBYVpwZVY5OTJkN1ZyalJ3elRmTTlpOFdTOWJlVmU0ZDc0NDAzNU9YbHBlM2J0MnZod29XYVBuMjZUcDA2cFduVHBtbktsQ2s2ZWZLa0prK2VyQll0V3FodjM3NXljM1BUYzg4OXB5VkxsdWlwcDU1U2t5Wk45T0NERDBxU2dvT0QxYTFidDJ4enBGV29VRUd6WjgvVzU1OS9yanAxNnVpZWUrNlJkUG4ySWVueUc5UXJ2di8rZTVVc1dkSVJSRmtzbHR4blNRZHk0T051bk1qTXNsc0t1bzRydnZ6eVM0MGNPVktsUzVmVzlPblQ1ZTN0N2RpM1pjc1dQZnJvbzlsR0NRNGJOa3hwYVduNi9QUFBGUklTb3RHalI2dGl4WW9LQ1FtUjFXcFZ1M2J0MUtkUEg4ZlB5YldFaFlVcE5EUlUwNmRQMTQ0ZE8xU3JWaTAxYk5oUVR6NzVwSUtEZzNNODV1alJvd29MQzlPRUNST2NWc1c3MnRXM2ZjK2ZQOTl4VHQ5ODg0Mm1UNS91TktvNExTMU5rclJod3dhRmg0ZXJhZE9tamhCNno1NDkrdUtMTDVnYkRnQUFvSUFSUk9YaTBxVkw2dFdybDQ0Y09hS09IVHVxVjY5ZVR2c25USmlnZmZ2MjZkTlBQMVcxYXRXYzlqM3d3QU5hdkhpeHdzUER0WHIxYWdVR0JxcG56NTd5OXZaV3o1NDk1ZXZycXlaTm1pZzBOUFNhZFJpR0lSOGZIdzBZTUVBZE8zWlVZbUtpN3JubkhuWHAwaVhYVzhqc2Ryc1dMRmdnNmZMRXRGY0hTWC8xMS9rM3Jyem0xV2JPbktteVpjdnF4UmRmZE5ydTYrdnI5T2Erc0xISThKUlVWRklSU1k3SnNtN2sxanZETUx4TTAyVEpwYitKbDVlWGxpMWJwbDkrK1VWUFBmV1VGaTVjcUlDQUFKMDRjVUp0MjdaMW1pT3RWS2xTNnQyN3R5cFhycXdGQ3hhb2FOR2lldkhGRjUzZVhMNzIybXVPZWRxT0hqMnFsSlFVcDFVaVc3ZHU3ZlQ2cG1sNkM3ZytIbExodUkxMzNicDFHamR1bkVxVUtLSFpzMmM3Ym1PVkxrL09QMnpZTUxWbzBVSlRwa3h4T3M1aXNXamN1SEdxVUtHQzVzMmJwNkZEaDJydDJyVWFNR0NBS2xldTdMaTFiL3YyN2ZtcXc5UFRVKzd1N2xxMmJKbSsrdW9yUGZIRUU3TGI3WEozZDgvMWx1MHJJWktmbjErZXQzWGJiRGJIS044elo4N283YmZmVnJkdTNaeHVQN1JhclVwTFMxUDE2dFcxZnYxNjllN2RXMVdyVmxYVnFsVWxTWnMzYjFiNTh1VlZ1M2J0ZkowUEFBQUEvaDRFVWJudzgvTlRuVHAxRkJ3Y3JINzkram50MjdadG0vYnQyNmRubm5rbVd3aDFSVkJRa0JZdlhxeWxTNWVxZS9mdWNuTnpVLy8rL1IzN1BUdzhybnR5NzdKbHl6cmVrUDgxR0x2YXZuMzdISjhhRnl0V0xGK0IxeFUybXkxYlhRY1BIbFJtWm1hMnR2NysvcnBVYUplNk5KU1NxZlUvNzR0OXEyN2R1ZzNjM055YVNXcHNtbVpEd3pEdWsrUjlkU0IxOWVOY1JrZjFNazN6N045ZDlSM3E2eXNQZnY3NVo3VnUzVnFwcWFuS3lzcHlQQTRPRHBhYm01dSsrKzQ3Mld3MlZheFlVWC84OFVldUhWb3NGclZwMDBacjFxeFJtVEpsMUtaTkcwbks4WmhGaXhicDJMRmpXcjU4ZWE3OW1hYlo0V1pPRUhlZk5GdFdWVlBHMklLdVE1SnExYXFsNnRXcmErTEVpYXBZc2FKanU5MXUxOHlaTStYaDRaSHRPbmFGWVJnS0RRMVZyVnExNU9IaElYOS9mM1hzMk5HcHpmV09JTEpZTEk0UnhQMzc5OWQzMzMxM3pXT3V2ajdtWnV2V3JmTHc4TkJiYjcybHlwVXJxMHVYTGpweTVJZ1NFeE4xMzMzM09YNTNkKy9lWFpNbVRkTEtsU3NkSTM0VEVoSVVFeE9qL3YzN3N3Z0ZBQUJBQVNPSXlvVmhHRGt1OVd5MVdqVmp4Z3dWSzFic21xdHUrZnI2T29WQW4zNzY2VTFQaEYyM2J0MXJmcHE3YXRVcXVibTU2YVdYWHRMcTFhdjF4aHR2NUhzQzhmUG56MTl6bnFlUkkwY3FLaXBLblRwMTBybHo1L0pkZTBHSmk0djdVZEtQMWF0WDkvZng4U2xwbW1hUVlSaGRKRDFyR0VacHlUbUl5aW1VTWsxejEwOC8vZlNyU3d1L0E5MTc3NzNxMGFPSHRtelpvdlBueit1bGwxN1NGMTk4NGRqL3pUZmZLRE16VXkxYnRuU3MvSGoxU0x6bm4zOWViNzc1cHVQMm02eXNMTmxzTmtjZ210UFBsOTF1ditZYno1OSsrdW1ibXo0NTNGV0NhdFNUak1JeElxcHExYXBhdG14WnR1MXIxcXpSMGFOSEZSb2Fxa3FWS3VYWng5VXJ2ZTdmdjE5eGNYRTNWWk5oR09yVXFaUDY5dTJyenAwNzUvdTQ4K2ZQYTh5WU1lcmF0V3UyVy9YOC9QeTBlUEZpSFRseVJCYUx4VEd5c1dqUm9wbzJiWnJqOTBLbFNwWFV2bjE3TFZ5NFVPM2J0MWV4WXNVMGQrNWNlWHA2NXJqcUxRQUFBRnlMSU9vNkxWcTBTTC85OXB1aW9xSWM0WTVwbWxxNWNxV0tGeS91TkkvVVg4MmVQVnRaV2RtbkdiTFpiREpOVSs3dTd0ZDh3eHdhR3BwbkVIWDQ4R0Y5L3ZubmF0bXlwVjU5OVZXdFhyMWEwZEhSaW95TXpOZjUvZmUvLzNYTXJaT2JidDI2cVg3OStycDQ4YUpTVWxLVWtwSlNLQ2NwLzZ2RGh3OWZrblJKMGdsSjMxU3BVaVhNMzkvL0dkTTBReTBXUzIxSnhVelQ5TTV0SGluY3ZIdnV1VWZ0MnJYVHNXUEg1T25wcVhidDJ1bklrU002ZS9hc2poOC9ydjM3OTZ0NzkrNnFWcTJhamh3NW9rV0xGcWxmdjM0cVVhS0VKS2xpeFlyYXVYTm50aEQ0eXkrL2xDVE5uVHMzMjJ0bVptYkt5OHZyN3o4NW9CQzVjT0dDWnMrZXJZb1ZLNnA3OSs2TzdRa0pDWTVieDNQN3VZaUppY254WjhrMFRjZmNoTmNhMGV2bTVxWk9uVHJsT21vNE42ZFBuMVptWnFZcVY2NmM0NFRpd2NIQnN0bHNDZ29LVXFWS2xWU3VYRG5IN1gzejU4K1hoNGVIS2xXcXBKZGZmbG1yVjYvV3BFbVQ5TUlMTDJqVHBrMTY0NDAzSEw5TEFBQUFVSEFJb3E1RGZIeThGaTVjcUljZmZsanQyclZ6MnJkdDJ6YnQzNzlmMWF0WHovV1Q1eDA3ZG1UYmxwQ1FvQzVkdWlnb0tFano1czI3cVRmTXljbkpHamx5cEN3V2kwSkRRMVdpUkFsMTc5NWRjK2JNVWRPbVRYTmNldnV2OXU3ZHE4cVY4MTRjcmtxVktucm9vWWYweXkrL1NKSk9uRGloQng1NDRJYnJMaWp4OGZGV1Nhc2tyYXBidDI1bHd6Q2F1Ym01UFdpYVptTkpqUXpES1B6cDJtMG1KU1ZGc2JHeCt2MzMzM1h4NGtYRnhzWTZSdFY5OWRWWHV1ZWVlL1RHRzI4NGJoRmF0R2lSSG52c01hYzVvaTVjdU9CNGt6eGx5aFNWS0ZGQ3I3MzJtaVFwTURBdzIydGV1blRwdGdoS2dWdnBuWGZlVVhKeXNxWlBueTVQVDAvSDlzVEVSUDNmLy8yZlROUE05UU9LVjE5OU5kdGlBSkkwZWZKa3JWaXhRdSs4ODA2K3JpZlM1ZXZTUC83eGordXVmK3pZc1pvd1lZTGplZi8rL2RXeFkwZlZxRkZETldyVWNHcHJ0OXRsc1ZqMDNYZmZxV0hEaHZMMjlwYTN0N2Y2OSsrdjhlUEhhOWV1WGFwUW9VSzJoVGtBQUFCUU1BaWk4aWtqSTBPalJvMlNuNTlmdG1XbURjUFE2TkdqRlJJU29vaUlDSDM4OGNmNUNwVFMwOU0xYU5BZytmbjVhZHEwYVk1ai92ampEdzBkT2xSaFlXRk9FeXpuSlNVbFJXKzk5WmFPSFR1bUFRTUdPQ1lvNzk2OXU3NzU1aHRGUmtiSzI5czcxMVgwd3NMQ1ZMSmtTZTNmdjErWm1abEtTVW5SNU1tVG5TYTkvYXVLRlN2S3c4TkQ4Zkh4cWw2OXVqWnMyS0IvL3ZPZlRxczEzUzdpNHVLT1N6b3U2Yk5hdFdxVjlQVDB2RS9TVTVLNkdvYVIrMnp2eUxmMDlIU2RQSGxTSTBhTTBLVkxsMlN6MlRSaXhBaGR2SGhSVFpzMlZZOGVQZFN5WmN0cmpyUW9Ycnk0NDVZZGYzOS9sU3haMHZFOHB6bWlUcDQ4eVZMdHVLdDgrZVdYMnJ4NXMzcjI3Sm50R3RLb1VTTjE3dHhabjN6eWlSbzFhcFR2a0dqVHBrMWFzV0tGK3ZidDZ4UkNyVml4UXZ2MjdWTlVWSlJqTXZHcmVYdDdPMTB6VGRQVXRtM2IxS0pGQzFrczJSY2RURXBLMHFSSmsvVDg4OCtyZnYzNmp1MVhWcis4MHNmUm8wZTFaODhleGNURTZNY2ZmOVNDQlF1MGYvOSt2ZlhXVzQ1MmJkdTJWWFIwdEpLU2t0U3hZMGVuUUE0QUFBQUZoeUFxbnlaUG5xekRodzlyeG93WktsbXlaTGI5Z1lHQkdqeDRzS0tpb2pSdDJqUU5Hellzei81c05wc2lJaUtVbUppbytmUG5PL1hwNWVXbGpJd005ZW5UUjVNblQzYWF1eU1uSjArZVZFUkVoSTRjT2FJT0hUcW9hOWV1am4zdTd1NmFQbjI2dW5mdnJnRURCcWgzNzk1NjVaVlhzcjFoZVBIRkZ6VjY5R2g1ZW5vcUlDQkEzYnQzMTh5Wk0zTWRTWktTa3VKWW5XanYzcjFxMXF5WnhvOGZyenAxNnFoS2xTcDUxbHZJWlI0NGNDQlJVcUtrN3lXTnExKy8vbU5XcS9XL0JWelhiZS9peFlzS0RnN1cxS2xUTlgzNmRKMDZkVXJUcGszVGxDbFRkUGJzV2ZYdjMxK3hzYkdPOWpuTkVTVkpYMy85ZGI3ZlVPN2J0MCsvLy82N1ROTlVWbGFXM056Y3JuMFFjQnM3Y2VLRXhvNGRxOXExYSt2MTExL1BzVTFZV0poMjd0eXA4ZVBINjRFSEhsRDU4dVh6N0RNbUprYmp4bzFUaHc0ZDFLTkhENmQ5dnI2Kyt1S0xMM1Rod2dXOSsrNjcyVDZJY0hkM1Y2dFdyUnpQOSsvZnI2Ky8vbHBwYVdtYU1HRkN0bXZNNmRPbkpWMWVmZmJxNHlRcE5UVlZVVkZSMnJ0M3IvNzg4MC81Ky92cm9ZY2Uwc0NCQS9YUlJ4K3BTSkVpZXZycHB5WDkvdzk2a3BLUzVPL3ZyL256NTh2THl5dGIvUUFBQUhBOWdxaHJTRTFOMVh2dnZhZTFhOWVxU1pNbTh2UHowNjVkdTVTV2xxYjA5SFRIVjFwYW1sSlRVK1huNTZkVnExYXBlZlBtZXZqaGgzUHM4OHJvcXIxNzkyck9uRGxPd2MyVmlaWEhqQm1qQVFNR0tEdzhYT1BIajg5eDdpbWJ6YWJseTVkcnpwdzVTazlQVjVjdVhUUnc0TUJzN1VxWExxMEZDeFlvTEN4TTBkSFIyckpsaTBKRFE5VzhlWFBIbkZSYnQyN1ZoZzBiRkJvYXFwNDllMnJTcEVsNjg4MDNOV3ZXTEYyNmRFa0hEaHpRbENsVFpMUFpORzdjT0NVbko2dG56NTVxMnJTcFZxMWE1ZmpqLytwYnFPNFFtYkd4c1ZzTHVvZzd3YkZqeC9JTUtidDE2K1kwa1hCT2MwUkp5bkhVaFNUdDJyVkw1Y3VYMTVRcFUxU3JWaTNaYkRaTm16Wk5ucDZlK3RlLy9xWDQrSGdOSHo1Y0R6endnTWFNR2FNeVpjcmN1cE1EQ29IWTJGaEZSa1lxTFMxTklTRWhpbzJObGRWcWRicGVwYVdsS1MwdFRXWExsdFh4NDhjMWF0UW96WjgvUDhmUlNWZjZIRGh3b0I1Ly9QRnNDM2hZclZZMWE5Wk12WHYzVm5SMHRIcjM3cTNaczJmbmVTdHM3ZHExTldmT0hBMFlNRUNob2FGYXRHaVIwODkwUmthR3BKeFhMeTFTcElnOFBUMzEvUFBQNjVGSEhsSHQyclhsNXVhbTNidDM2NHN2dmxDUEhqMVV0R2hSblQxN1ZoRVJFZHEzYjU5Q1EwUDEvUFBQcTErL2ZvcU9qdGFCQXdjMFpNZ1FCUVFFM01pM0dBQUFBTGNBUWRRMWJOaXdRU3RXckpBazdkNjlXN3QzNzg3V3htS3hxRWlSSXZMMTlWWHAwcVZsczlrMFpzd1lyVnk1VXY3Ky9rNXRqeDA3cHZEd2NKMDZkVW9sU3BUUWhBa1RsSmFXNWhoaGxKNmVucTMvSy9ONFhBbWpiRGFiTm16WW9FV0xGaWtoSVVGRml4YlY2TkdqSFNzSTVTUXdNRkJMbGl6UmxDbFR0SGJ0V2cwYU5FaUJnWUhxMTYrZlBEdzhOSFRvVUFVSEIrdTExMTZUeFdMUjhPSEQ5Y2NmZjJqRmloVTZkT2lRdkx5OGxKV1ZwUmRlZUVIVnExZFhqUm8xVktWS0ZaMCtmVm9MRml6UXdJRURGUkFRY04zTGZPUHVrSnljckgzNzlxbDkrL2E1dG1uY3VMSFQ4OXptaUxxYTFXcFZZbUtpK3ZYcnArKy8vMTZMRmkxU2l4WXRsSmFXcG9pSUNNWEZ4V25peElrcVhicTB4bzRkcTI3ZHV1bkZGMTlVdjM3OStMZUtPMHBtWnFhR0RoM3F1RDExNU1pUk9iYno5dlpXa1NKRlZLUklFWlV2WDE3LytjOS90SFRwVXIzeXlpdloyczZjT1ZOTGx5NlYzVzdYcjcvK3FoZGZmRkdwcWFsS1RVMVZXbHBhdHNVMzR1TGkxTGR2WDBWSFIrY1pSdFd2WDEvejU4L1h4WXNYbFpDUW9PWExsNnRJa1NMeTh2TFN6cDA3SlNuWFVWcFh6eHNsU1dmT25GRmtaS1FDQXdQVnRXdFhyVjI3VnRPblQxZHFhcXJDdzhNZEsvYk5temRQa1pHUit2cnJyN1ZyMXk0TkhUclU4UUVLQUFBQVhJc2c2aG82ZE9pZ0F3Y09xRktsU2dvSUNGQ3hZc1ZVdEdoUkZTMWFWUDcrL3ZMMTlaV1BqNC9UTVd2WHJ0VzRjZU8wWk1rUzllblR4MmxmdVhMbGxKNmVya3FWS3FsczJiTHk5L2QzOUpmVGw2ZW5wOExEd3pWeTVFalZxbFZMNWN1WGwybWEycmh4bzg2Y09hTU9IVG9vTEN6TXNZSmZYbng4ZkRSeTVFaTFiOTllYytiTTBhKy8vcXJHalJ2TFpyUHBuLy84cDRZUEgrNTA2MUtwVXFYMHdnc3Y2TWtubjFUbHlwVnp2SzJwVXFWS0dqQmdnT2JPblp2ajVMYUFkRG5RTlF4RGp6MzJtS1RMeTgyZk8zZE9zYkd4MnJObmoycldySG5kZlo0OGVWS0hEeCtXeldaVDJiSmxOWDc4ZUZXdFdsWHIxNi9YQng5OG9IUG56bW53NE1HT0FIZjU4dVg2NElNUHRHVEpFbTNmdmwyalJvMVNreVpOYnVsNUFnWEZ3OE5EQXdjTzFQNzkrMVdwVWlVVkwxNWN4WXNYbDUrZm40b1dMU28vUHovNSt2bzZqVDZ5V3EwS0NRblJoeDkrcVBidDI2dG8wYUpPZlFZRUJNakh4MGRWcWxSUjhlTEZWYXhZc1R5dldUdDM3dFE3Nzd5anFWT25hdFNvVVhuV1c3VnFWVW1YSjA5ZnRXcVZZNVhTNHNXTHExdTNicXBUcDA2K3p2dVhYMzZSMVdyVjlPblRkZkhpUlUyZE9sVUJBUUVhUFhxMFV4OStmbjZhT1hPbVB2dnNNeTFhdENqZi9RTUFBT0F1RUZTalh2T2dtZytlcWR2a0VYUG5EekhtN2NodXQ1dnIxcTB6TXpNemM5eWZtcHA2WGYyZE9YUEczTFp0bTlPMnBLUWs4OVNwVXpkY28ybWFabHBhMmswZFh4anQvQ0hHYlB4SVN6T29acjJrb0JyMW1oZjB2MmRJcG1tYUgzendnVGxuemh6SC95ZXIxV28yYWRMRWJOQ2dnZG0yYlZ2endJRUQyZjVmN3RpeHcyelFvSUg1MjIrLzVmai8ybXExbXErODhvcTVjT0ZDTXlNancvemdndy9NeHg5LzNHelFvSUg1MGtzdm1ULysrR09PeCszZXZkdDg4c2tuellZTkc1cng4ZkdtYWY3dkhUQndIZTZFYTVWcG1tWmNYSng1NUFYL3NuWUFBQm1JU1VSQlZNaVJIUGRsWm1hYUdSa1oxOVhmK3ZYcnpVdVhMdDJLMHZJdEtTbko4ZmpJa1NObWVucDZudTF6dXphN0V0Y3FBQUJ3TjJORTFOL0FNQXkxYTljdTEvMS9IVUYxTFlHQmdkbVdwYi95YWZmTnVCMVh0OFB0S1RRMDFPbTVwNmVuZnZqaEI4ZXk2emtKRGc3VzNyMTdjKzNUMDlOVEN4Y3VkSXpVYTk2OHVYNzU1UmM5L2ZUVGF0YXNXYTc5Tm03Y1dKOTk5cGwrK09FSDNYLy8vVGQ0UnNDZElhK1JRYm5OeDVhWHErZDVjNVdycjRWWFJscmw1VWJPQ3dBQUFMY09mNDBCS0RDNWhVWDVkZlh0b3RXclY5Zmt5WlB6ZFZ6eDRzWHp2V3c5QUFBQUFPRFd1YmwzZ1FBQUFBQUFBRUErTVNJS3dOL0t5R2tkZGdBQUFBREFYWWtSVVFBQUFBQUFBSEFKZ2lnQUFBQUFBQUM0QkVFVUFBQUFBQUFBWElJZ0NnQUFBQUFBQUM1QkVBVUFBQUFBQUFDWElJZ0NBQUFBQUFDQVN4QkVBUUFBQUFBQXdDVUlvZ0FBQUFBQUFPQVNCRkVBQUFBQUFBQndDWUlvQUFBQUFBQUF1QVJCRkFBQUFBQUFBRnlDSUFvQUFBQUFBQUF1UVJBRkFBQUFBQUFBbHlDSUFnQUFBQUFBZ0VzUVJBRUFBQUFBQU1BbENLSUFBQUFBQUFEZ0VnUlJBQUFBQUFBQWNBbUNLQUFBQUFBQUFMZ0VRUlFBQUFBQUFBQmNnaUFLQUFBQUFBQUFMa0VRQlFBQUFBQUFBSmNnaUFJQUFBQUFBSUJMRUVRQkFBQUFBQURBSmR3THVvRGNaTm15ZE9EZzRZSXVBN2VaQXdjUEt6TXpzNkRMQUhDWDRGcUZHOEcxQ2dBQTNNMEtiUkNWbHA2dTkrYk1rNGVIUjBHWGd0dElabWFtTGw2NlZOQmxBTGhMY0szQ2plQmFCUUFBN21hRkxvaktNTzFuUEEzampOMDB2UzljdkZqUTVlQjJaWnBuTTB6elRFR1hBZURPeExVcWI2YmRsSEhsc1NURFl1VFYvTzdGdFFvQUFOeUZDdU5maHBhS1ZSNm9ZWEgzQ0Nqb1FuRDd5akxzZjV3NkdIZEFrcjJnYXdGd1IrSmFsUWNQUzFhUXI2ZDdSN3Zra1paaFc1WnBkenRSMERVVlJseXJBQURBM2Fnd0JsRUFBT0EyVnI5Ky9jY053MWh1bXFhM3BQYXhzYkhmRm5STkFBQUFLQnhZTlE4QUFBQUFBQUF1UVJBRkFBQUFBQUFBbHlDSUFnQUFBQUFBZ0VzUVJBRUFBQUFBQU1BbENLSUFBQUFBQUFEZ0VnUlJBQUFBQUFBQWNBbUNLQUFBQUFBQUFMZ0VRUlFBQUFBQUFBQmNnaUFLQUFBQUFBQUFMa0VRQlFBQUFBQUFBSmNnaUFJQUFBQUFBSUJMRUVRQkFBQUFBQURBSlFpaUFBQUFBQUFBNEJJRVVRQUFBQUFBQUhBSmdpZ0FBQUFBQUFDNEJFRVVBQUFBQUFBQVhJSWdDZ0FBQUFBQUFDNUJFQVVBQUFBQUFBQ1hJSWdDQUFBQUFBQ0FTeEJFQVFBQUFBQUF3Q1VJb2dBQUFBQUFBT0FTQkZFQUFBQUFBQUJ3Q1lJb0FBQUFBQUFBdUFSQkZBQUFBQUFBQUZ5Q0lBb0FBQUFBQUFBdVFSQUZBQUFBQUFBQWx5Q0lBZ0FBQUFBQWdFc1FSQUVBQUFBQUFNQWxDS0lBQUFBQUFBRGdFZ1JSQUFBQUFBQUFjQW1DS0FBQUFBQUFBTGdFUVJRQUFBQUFBQUJjZ2lBS0FBQUFBQUFBTGtFUUJRQUFBQUFBQUpjZ2lBSUFBQUFBQUlCTEVFUUJBQUFBQUFEQUpRaWlBQUFBQUFBQTRCSUVVUUFBQUFBQUFIQUpnaWdBQUFBQUFBQzRCRUVVQUFBQUFBQUFYSUlnQ2dBQUFBQUFBQzVCRUFVQUFBQUFBQUNYSUlnQ0FBQUFBQUNBU3hCRUFRQUFBQUFBd0NVSW9nQUFBQUFBQU9BU0JGRUFBQUFBQUFCd0NZSW9BQUFBQUFBQXVBUkJGQUFBQUFBQUFGeUNJQW9BQUFBQUFBQXVRUkFGQUFBQUFBQUFseUNJQWdBQUFBQUFnRXNRUkFFQUFBQUFBTUFsQ0tJQUFBQUFBQURnRWdSUkFBQUFBQUFBY0FtQ0tBQUFBQUFBQUxnRVFSUUFBQUFBQUFCY2dpQUtBQUFBQUFBQUxrRVFCUUFBQUFBQUFKY2dpQUlBQUFBQUFJQkxFRVFCQUFBQUFBREFKUWlpQUFBQUFBQUE0QklFVVFBQUFBQUFBSEFKZ2lnQUFBQUFBQUM0QkVFVUFBQUFBQUFBWElJZ0NnQUFBQUFBQUM1QkVBVUFBQUFBQUFDWElJZ0NBQUFBQUFDQVN4QkVBUUFBQUFBQXdDVUlvZ0FBQUFBQUFPQVNCRkVBQUFBQUFBQndDWUlvQUFBQUFBQUF1QVJCRkFBQUFBQUFBRnlDSUFvQUFBQUFBQUF1UVJBRkFBQUFBQUFBbHlDSUFnQUFBQUFBZ0VzUVJBRUFBQUFBQU1BbENLSUFBQUFBQUFEZ0VnUlJBQUFBQUFBQWNBbUNLQUFBQUFBQUFMZ0VRUlFBQUFBQUFBQmNnaUFLQUFBQUFBQUFMa0VRQlFBQUFBQUFBSmNnaUFJQUFBQUFBSUJMdUJkMEFRQUE0UFpWdDI3ZDhoYUxwZUhWMnd6RHFHMmFwcGNrRDhNd0hxbFhyMTd4cS9lN3VibkY3dDI3OTZSTEN3VUFBRUNoUUJBRkFBQnVSb0RGWWxuNzE0MkdZVng1T041aWNSNkFiYlBaSHBKRUVBVUFBSEFYTXE3ZEJBQUFJRmRHdlhyMURsb3NsdXI1YVd5YVpueHNiR3cxU2ViZlhCY0FBQUFLSWVhSUFnQUFOOE8wV0N5ekpjazBUWmxtOW56cDZ1MkdZWHdvUWlnQUFJQzdGa0VVQUFDNEtWbFpXVnRNMC96enF0dnhzakVNUTZacC9tbWE1allYbGdZQUFJQkNoaUFLQUFEY2xKU1VsRVJKdS9QUmRIZFdWaFp6UXdFQUFOekZDS0lBQU1CTmlZK1BUNUcwMXpSTnV5U24yL091UERaTjAyNFlSa3hjWE56NUFpa1NBQUFBaFFKQkZBQUF1RmxaZHJ2OUowa1g4MmlUWnBwbXJDU2JpMm9DQUFCQUlVUVFCUUFBYm9YdkpQMmUyMDdETVA2MDIrMDdYVmdQQUFBQUNpR0NLQUFBY05QKzg1Ly8vR2FhNXA0ckU1Yi9aYVU4bWFhNTl6Ly8rYzl2QlZrakFBQUFDaDVCRkFBQXVDVU13MWlheCs3NUxpc0VBQUFBaFZidTZ5d0RBQUJjSDB2OSt2VlBTU3A3WmNQL1JrTWx4c2JHbHBOa0w3alNBQUFBVUJnd0lnb0FBTndxZGtsTHJ0eWVkNVVWSW9RQ0FBQ0FDS0lBQU1BdFpKcm1ja2xwVjIxS3k4cktXbFZROVFBQUFLQndJWWdDQUFDM1RHcHFhb0pwbWtjTnc3aHlXOTUrd3pCK0tlaTZBQUFBVURnUVJBRUFnRnZHYnJkZmtoUmovbytrT05NMEx4UjBYUUFBQUNnY0NLSUFBTUF0RXg4ZmI1VzBVMUtxWVJoV1NUdmo0dUpTQ3Jnc0FBQUFGQklFVVFBQTRKYXkyV3k3SmYxaG11YWwvejBHQUFBQUFBQUEvaDcxNjlkZlg3OSsvVzhLdWc0QUFBQVVMdG5XVndZQUFOZFc5djdhRlR3OTNPOHY2RG9LcXlMdTl0YXlXRHhUTTdTeG9Hc3ByS3hXNi9Fenh3LytXdEIxQUFBQXVCSkJGQUFBMXlrb3FGNlF2TTJQWktoR1FkZFNhSm5tNWY4YS9LbVJoNU5LTTBKT25QanBSRUVYQWdBQTRDcnVCVjBBQUFDM0hXOEZ5VkFOUTBaZ0VSOGZ1Ym03RlhSRnVJMWsyYktVbHA0dXUybDZ5MXRCa2dpaUFBREFYWU1nQ2dDQUcxVEV4MGR2dmRsWHRXcFdMK2hTY0JzNWNQQ3czcHN6VHhjdVhpem9VZ0FBQUZ5T0lBb0FnQnZrNXU2bVdqV3JxMm1UUmdWZENtNHpIaDRlQlYwQ0FBQkFnYkFVZEFFQUFBQUFBQUM0T3hCRUFRQUFBQUFBd0NVSW9nQUFBQUFBQU9BU0JGRUFBQUFBQUFCd0NZSW9BQUFBQUFBQXVBUkJGQUFBQUFBQUFGeUNJQW9BQUFBQUFBQXVRUkFGQUFBQUFBQUFseUNJQWdBQUFBQUFnRXNRUkFFQUFBQUFBTUFsQ0tJQUFBQUFBQURnRWdSUkFBQUFBQUFBY0FtQ0tBQUFBQUFBQUxnRVFSUUFBQUFBQUFCY2dpQUtBQUFBQUFBQUxrRVFCUUFBQUFBQUFKY2dpQUlBQUFBQUFJQkxFRVFCQUFBQUFBREFKUWlpQUFBQUFBQUE0QklFVVFBQUFBQUFBSEFKZ2lnQUFBQUFBQUM0QkVFVUFBQUFBQUFBWElJZ0NnQUFBQUFBQUM1QkVBVUFBQUFBQUFDWElJZ0NBQUFBQUFDQVN4QkVBUUFBQUFBQXdDVUlvZ0FBQUFBQUFPQVNCRkVBQUFBQUFBQndDWUlvQUFCd1Ivcnp6ejlsdDlzTHVnd0FBQUJjaFNBS0FJQTcwS2xUcDJTMVdwMjJ4Y1RFYVB2MjdUZmM1OFdMRjlXK2ZYczFiTmhRYTlhc3Vka1NKVW5QUFBPTWhnOGZudS8yQ1FrSlNrMU5sU1Q5OU5OUGF0eTRzWTRkT3laSk9uMzZ0T0xqNHgxdCsvZnZyMzc5K3QyU09nRUFBSEJyRUVRQkFIQ0hzZGxzQ2dzTFU1Y3VYV1NhcG1QN0J4OThvQWtUSmlnek0vT0craHd5WkloT256NnQrKzY3VDdObXpkS3Z2LzU2VTNXbXA2ZnI5T25UOHZMeXluY05vYUdoR2oxNnRDVEpORTNaN1hhWnBxbU1qQXdOR1RKRUVSRVJ5c3JLVWxaV2xvNGNPYUtHRFJ2ZVZJMEFBQUM0dFFpaUFBQzR3NnhmdjE0SkNRbnEyTEdqRE1Od2JPL2F0YXZPblR1bjlldlhYMWQvTnB0TkkwZU9WRXhNaktLaW9qUnYzandWS1ZKRWI3NzVwczZlUFh2RGRTWWxKVW1TQWdJQzh0WGUzZDFkUTRZTTBkYXRXL1hKSjU4NDdaczZkYXArL2ZWWHZmUE9PM0p6YzlQKy9mdGx0VnIxMEVNUDNYQjlBQUFBdVBYY0M3b0FBQUJ3NjV3L2YxN1IwZEVxWDc2OG5udnVPYWQ5anozMm1LcFdyYXBaczJZcE9EaFk5OTU3N3pYN3MxcXRpb2lJMFBidDJ4VWVIcTYyYmR0S2txWk5tNlpldlhycGxWZGUwWXdaTTFTelpzM3JyalVoSVVHU1ZMcDA2WHdmOC9qamp5c3lNbExObXpkM0dwRlZ0MjVkQlFjSDYvNzc3NWNrZmZQTk41S2tIVHQyYU9mT25VNTlWS2xTUmMyYk43L3VlZ0VBQUhEekNLSUFBTGlEakI4L1hoY3VYTkNrU1pQazd1NThtYmRZTEJvN2RxeTZkdTJxNGNPSDY4TVBQOHpXNW1xblQ1L1dzR0hEOVBQUFB5c3lNdElwMktwZXZicm16cDJyc0xBdzllelpVK0hoNGVyUW9ZUFRDS3hyT1hyMHFDVHAzTGx6K1dxL1pNa1MvZkRERDVLa2JkdTI2ZEtsUzVLa3Q5OStXMFdLRkpFazdkeTVVNE1HRGRMbXpadFZxbFFwYmR1MnplbjFTcFVxcFhidDJoRkVBUUFBRkJCdXpRTUE0QTZ4ZVBGaWZmdnR0d29KQ1ZIanhvMXpiRk90V2pXRmhvWXFMaTVPZ3djUFZrWkdSbzd0dG03ZHFrNmRPaWsrUGw2VEowL09OcnBLa21yVXFLRUZDeGJvM252djFZUUpFL1Q2NjY4N1RSWitMWWNQSDVaMGVkUlNmZ1FHQnFwYXRXcXFWcTJhS2xldTdIaXRvS0FneC9aS2xTcHAyN1p0T252MnJBWVBIcXpseTVkcitmTGxtajE3dGlTcFQ1OCs2dHUzYjc1ckJBQUF3SzNGaUNnQUFPNEFXN1pzMGN5Wk0xV3paazI5K2VhYmViYnQwYU9IenB3NW85V3JWMnZnd0lHYVBIbXkvUHo4SkYxZWJXL3ExS25hdm4yN3lwWXRxMWF0V3NscXRXclRwazI1OXRlNWMyZHQzTGhSc2JHeENna0pVYk5temRTdFc3YzhKd28zVFZPN2R1MlNZUmc2ZVBDZ0VoTVRGUmdZbUdmZHJWdTNWdXZXcmZYZi8vNVhnd1lOY296bU9uWHFsQjU4OEVFOSsreXpzdGxzNnRpeG95VHA5OTkvZHh4N1pkUlZmbTVIQkFBQXdOK0hJQW9BZ052Y2wxOStxWkVqUjZwMDZkS2FQbjI2dkwyOUhmdTJiTm1pUng5OVZENCtQazdIREJzMlRHbHBhZnI4ODg4VkVoS2kwYU5IcTJMRmlnb0pDWkhWYWxXN2R1M1VwMDhmUGZYVVUvbXFJU3dzVEtHaG9abytmYnAyN05paFdyVnE1UmxFSFRwMFNILzg4WWVlZmZaWmZmNzU1OXE0Y2FOZWUrMjFhNzdPOXUzYjlmYmJiNnRNbVRJYU8zYXMzbnJyTFFVRkJXbjgrUEdLalkxVi9mcjE5ZXV2djZwa3laSk9jMGhkZVZ5dVhMbDhuUThBQUFEK0hnUlJBQURjeHRhdFc2ZHg0OGFwUklrU21qMTd0dFBFM3p0Mzd0U3dZY1BVb2tVTFRaa3l4ZWs0aThXaWNlUEdxVUtGQ3BvM2I1NkdEaDJxdFd2WGFzQ0FBYXBjdWJMajFyN3QyN2ZucXc1UFQwKzV1N3RyMmJKbCt1cXJyL1RFRTAvazJmN3p6eitYSkxWdDIxWVhMMTdVMnJWcjFhMWJ0MXpuckxMYjdZcU1qTlNXTFZ2VXBrMGJSVVpHNnVEQmc1S2trSkFRUGZIRUV4b3laSWdxVnF5b3dZTUg2NWRmZnRIKy9mc2R4eDg2ZEVqRmloVWppQUlBQUNoZ0JGRUFBTnpHYXRXcXBlclZxMnZpeEltcVdMR2lZN3ZkYnRmTW1UUGw0ZUdoZnYzNjVYaXNZUmdLRFExVnJWcTE1T0hoSVg5L2Y4ZHRiVmRjbVFROHZ5d1dpNTU4OHNrODI2U21wbXJkdW5VcVg3NjhHalJvb0xTME5QWHYzMTlmZlBHRm5uNzY2Vno3clZxMXFscTFhcVdXTFZ2cThPSEQrdmUvLzYzSXlFZ0ZCZ2FxU3BVcVdycDBxU3BVcUNDTHhhSjE2OVpwelpvMVNrcEtVb2tTSlJRVEU2TUhIbmpndXM0RkFBQUF0eDVCRkFBQXQ3R3FWYXRxMmJKbDJiYXZXYk5HUjQ4ZVZXaG9xQ3BWcXBSbkg0OCsrcWpqOGY3OSt4VVhGM2RUTlJtR29VNmRPdVc2LzdQUFBsTnljcko2OXV3cHd6QVVIQnpzR0puVnFsVXJwMXNMcjlhNmRXdFpyVmJGeDhmcjNYZmYxYWxUcHpScjFpd2xKaVk2MnFTbHBjblgxMWRObXphVjNXN1h0bTNiMUt4Wk14MDZkRWdSRVJFM2RWNEFBQUM0ZVFSUkFBRGNZUzVjdUtEWnMyZXJZc1dLNnQ2OXUyTjdRa0tDRmk5ZXJQRHdjSGw1ZWVWNGJFeE1qT2JPblp0dHUybWFzdGxza2lRUEQ0ODhYOS9OelMzWElDb3hNVkh6NTgvWFBmZmNveGRmZkZIUzVkRk92WHIxMHNpUkkvWGhoeC9tT29McnJiZmUwaSsvL09LMHJYUG56azdQcDB5Wm9oWXRXcWhNbVRKNjhNRUg5ZGxubittMzMzNlRZUmpYdkYwUUFBQUFBQUNnMEFtcVVhOTVVTTBIejlSdDhvaTU4NGNZczdBWk5teVkyYWhSSXpNMk50WnBlMHhNak5tZ1FRTnovUGp4MTkzbnBFbVR6QVlOR3BoZmZmWFZEZGRsczluTVBuMzZtQTBhTkREWHJGbmp0QzhySzh2czBxV0wyYWhSSTNQbnpwMDVIcCtVbEdTZVBIblNiTldxbFRsczJERHozTGx6anE4RkN4YVlUWm8wTWMrY09lTm92Mm5USnJOQmd3Wm00OGFOelNGRGh0eHczYmZhemg5aXpNYVB0RFNEYXRaTENxcFJyM2xCLzNzR0FBQndKVXRCRndBQUFHNmRMNy84VXBzM2IxYVBIajFVcjE0OXAzMk5HalZTNTg2ZHRYcjFhbTNldkRuZmZXN2F0RWtyVnF4UTM3NTkxYkpsUzhmMkZTdFdhT1RJa1k2UlV0Y3lZOFlNN2RxMVM0MGJOMWI3OXUyZDlsa3NGbzBhTlVvV2kwWERoZzNUa1NOSHNoMWZ2SGh4ZmZycHB6cC8vcndhTkdpZ2UrNjVSNlZLbFZKR1JvWVdMMTZzRjE1NFFZR0JnWTcyclZ1M1ZyRml4WlNWbGFXWFhub3AzK2NMQUFDQXZ3OUJGQUFBZDRnVEowNW83Tml4cWwyN3RsNS8vZlVjMjRTRmhhbHk1Y29hUDM2OEVoSVNydGxuVEV5TXhvMzdmKzNkWDJpVjV3RUc4Q2RxTkUxaVBNSUlkWXBWS3JZbGhLNHc1bWlsdFpUQ0VDTUdCdTFGYWNFTFFhRVR5WTFYMWlLTlVwQWhWVmNWbElCbWVGSEJva3hrRjdrUlphWlVncHJaZ24rWW14dEx3VVNJT2NuTTJVVkJtdnBuV3VsM0Z2cjd3WUhEZWQvejhuem42dkR3ZmUrN0plM3Q3Vm05ZXZXRXNZYUdocHc0Y1NJYk5tekl5TWpJUTlmWnMyZFB1cnU3MDl6Y25NN096dnZPV2J4NGNUbzZPakkwTkpRMWE5YmszTGx6OTh4WnZYcDEzbjc3N1d6ZnZqM3Q3ZTNwN3U3TzJyVnJNMi9ldkhzZTZkdTVjMmNHQndlVEpMdDI3VXE1WFA2ZjF3c0F3STlyYXJVREFNQmtVL3JaMHd0U2s5L09tREdqc1czNWJ6SnY3cytySFNsZmZ2bGxPam82TWpnNG1QZmZmejlEUTBPNWN1VktMbDI2bElzWEw2YXZyeTlmZlBGRmVudDdNekl5a3N1WEw2ZS92ejl0YlcycHFhbDU0SnJyMTYvUHE2KyttczJiTjArWVZ5NlhNMmZPbkRRMk51YklrU1BwN2UzTm0yKyttZW5UcDA5WW8xd3VaK3ZXclRsMDZGQktwVkoyNzk2ZHVYUG5QdkE2V2xwYU1qSXlrck5ueitiNDhlT1pNbVZLV2x0Yk0zWHF0MzlaNnV2cjg4b3JyNlN0clMwblQ1N004ZVBITXpRMGxEZmVlQ012dmZUUzNiMnZ1cnU3OCttbm4rYmxsMS9POHVYTGMrellzWHo5OWRkWnRteFpwazJyN2hhWjEvLytqL3pwNUo4emZQdjJTSkxETndmK2ViV3FnUUFBQ25UL2Y1NEF3QU10ZVA0WHkxSlQrV1BUekpsUDcvbms5L24xcjM1WjFUeGpZMk5ac1dKRkJnWUdIanF2cnE0dTlmWDFxYSt2VC9MdDV1WHIxNi9QdSsrK2U4L2NIVHQyNU9EQmd4a2ZIOC9peFlzek9qcWE0ZUhoREE4UDUvYnQyN2x6NTg0OTMybHRiYzJ1WGJ2UzBOQ1FKTGx3NFVJMmJkcVVxMWV2WnM2Y09kbXhZMGVlZmZiWlI3cW12WHYzM3QwMGZmNzgrVGwwNkZEcTYrc3pPRGlZbnA2ZWRIVjE1ZHExYTFtNWNtV21UcDJhbzBlUDNpM0Y5dTNibDhPSEQrZkZGMS9NN3QyN1UxZFhsODdPem56MjJXZFpzR0JCT2pzNzg5eHp6ejFTamgvRG1iLzA1bmNkRy9QdmI3NjVtVXJhci83MVhFL1Z3Z0FBRk15cGVRQXd5ZFhXMW1iRGhnMDVmLzU4bm5ubW1aUktwWlJLcFRRMk5xYXBxU21OalkxcGFHaVljQ2RRdVZ6T1cyKzlsWDM3OW1YVnFsVnBhbXFhc0daemMzT2VldXFwTEZxMEtLVlNLYk5temNyTW1UUFQxTlIwMzlmcDA2Zno4Y2NmWi92MjdkbTBhVk9TWkhSME5OZXZYOC9TcFV1emVmUG16SjQ5KzVHdmFjMmFOWG5oaFJmeTBVY2Y1YjMzM3N1TUdUT3lidDI2bkQxN05wVktKVXVYTHMyV0xWdlMwdEtTSkhubm5YZlMzOStmRHo3NElLZE9uY3JycjcrZUR6LzhNSFYxZFVtU2pSczNadGFzV2RtL2YzOE9IRGlRYmR1MlBlblBEZ0FBQVBEaiszOC9OZTlSOWZYMVZiNzY2cXY3am8yTmpWVkdSMGNmYTczUFAvKzhjdXZXclFtZlhiNTgrUWZucTFRcWxYSzVmUGQ5VjFkWHBhdXJhOExKZU45MzVzeVp5djc5K3l2ajQrUDNIZS9wNmFrTURBdzhVYVluNWRROEFPQ256QjFSQVBBVDFkcmErc0N4SDdLUFVsdGIyejJmTFZ5NDhMSFgrYTd2N2psMXYwY0l2Mi9Ka2lWWnNtVEpBOGRmZSsyMUo4b0RBTUNUY1dvZUFBQUFBSVZRUkFFQUFBQlFDRVVVQUFBQUFJVlFSQUVBQUFCUUNFVVVBQUFBQUlWUVJBRUFBQUJRQ0VVVUFBQUFBSVZRUkFFQUFBQlFDRVVVQUFBQUFJVlFSQUVBQUFCUUNFVVVBQUFBQUlWUVJBRUFBQUJRQ0VVVUFBQUFBSVZRUkFFQUFBQlFDRVVVQUFBQUFJVlFSQUVBQUFCUUNFVVVBQUFBQUlWUVJBRUFBQUJRQ0VVVUFBQUFBSVZRUkFFQUFBQlFDRVVVQUFBQUFJVlFSQUVBQUFCUUNFVVVBQUFBQUlWUVJBRUFBQUJRQ0VVVUFBQUFBSVZRUkFFQUFBQlFDRVVVQUFBQUFJV1lWdTBBQURCWjNmblBuVnpzdjFUdEdFd3lGL3N2Wld4c3JOb3hBQUNxUWhFRkFEL1E3WkdSZlBLSHZhbXRyYTEyRkNhUnNiR3hETjI2VmUwWUFBQlZvWWdDZ01jMFdobS9NYjJtNXNaNHBWSjNjMmlvMm5HWXJDcVZmNDFXS2plcUhRTUFvRWcxMVE0QUFKUFFsUG1MV3A2Zk1xMjJ1ZHBCbUx6dTFJd1AvSzIvNzJLUzhXcG5BU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QUFBSGlJL3dKS0tGVXJVRmJQdXdBQUFBQkpSVTVFcmtKZ2dnPT0iLAoJIlRoZW1lIiA6ICIiLAoJIlR5cGUiIDogImZsb3ciLAoJIlZlcnNpb24iIDogIjMxIgp9Cg=="/>
  </etc:cellImage>
  <etc:cellImage>
    <xdr:pic>
      <xdr:nvPicPr>
        <xdr:cNvPr id="8" name="ID_A9804FCAE9AE4ADDB35F0AF881C2C0A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07820" y="1767840"/>
          <a:ext cx="14039850" cy="714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6FB2D25F816844859E746F0F230079E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56765" y="8923020"/>
          <a:ext cx="14039850" cy="714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D9D817A235F843658D5CEA47876EB05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217035" y="14495145"/>
          <a:ext cx="14039850" cy="714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" name="ID_553C8F8AFC3447BA826E529AF5DD81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239385" y="26443305"/>
          <a:ext cx="14039850" cy="714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" name="ID_8B520412E0AE4AAFAB4F8E3411D47DE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99160" y="20631785"/>
          <a:ext cx="14154150" cy="714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" name="ID_00BBF077ED8F4C2DB6C48496004A29D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249805" y="33361630"/>
          <a:ext cx="11096625" cy="5600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" name="ID_85AACC47C74E4A3DA54EA68ECCBEB41D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878580" y="39065200"/>
          <a:ext cx="5086350" cy="2628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18E522A23E064B079CC80FD52784D3F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734310" y="2009775"/>
          <a:ext cx="10391775" cy="55530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<sst xmlns="http://schemas.openxmlformats.org/spreadsheetml/2006/main" count="95" uniqueCount="92">
  <si>
    <t>系统名称</t>
  </si>
  <si>
    <t>装备</t>
  </si>
  <si>
    <t>修改时间</t>
  </si>
  <si>
    <t>修改内容</t>
  </si>
  <si>
    <t>修改人</t>
  </si>
  <si>
    <t>创建策划案</t>
  </si>
  <si>
    <t>马斌彬</t>
  </si>
  <si>
    <t>设计思路</t>
  </si>
  <si>
    <t>系统定位</t>
  </si>
  <si>
    <t>1、游戏基础社交功能。</t>
  </si>
  <si>
    <t>设计目的</t>
  </si>
  <si>
    <t>1、游戏基础社交功能，维持游戏生态。</t>
  </si>
  <si>
    <t>2、为游戏后续内容预留拓展空间。</t>
  </si>
  <si>
    <t>用户体验</t>
  </si>
  <si>
    <t>1、玩家加入帮会后会与其他玩家结成集体。</t>
  </si>
  <si>
    <t>2、后期也会加入行会站等活动，增加玩家归属感。</t>
  </si>
  <si>
    <t>功能设计</t>
  </si>
  <si>
    <t>功能规则</t>
  </si>
  <si>
    <t>1、公会内部数值逻辑将通过公会挑战与玩家捐赠进行增加。</t>
  </si>
  <si>
    <t>1.1、玩家捐赠：玩家捐赠会增加公会资金与个人贡献值。</t>
  </si>
  <si>
    <t>1.2、公会挑战：公会挑战会增加挑战值、公会经验。</t>
  </si>
  <si>
    <t>2、公会经验与公会资金用于提升公会等级。</t>
  </si>
  <si>
    <t>3、挑战值将用于升级公会天赋。</t>
  </si>
  <si>
    <t>4、个人贡献值将用于再公会商城内购买物品。</t>
  </si>
  <si>
    <t>5、公会等级的提高将解锁公会天赋与提高公会人数。</t>
  </si>
  <si>
    <t>界面规则</t>
  </si>
  <si>
    <t>龙卫盟主界面</t>
  </si>
  <si>
    <t>1、退出按钮：点击关闭界面。</t>
  </si>
  <si>
    <t>2、界面标题：文本内容，无其他功能。</t>
  </si>
  <si>
    <t>3、公会公告：公告公告展示栏，为文本内容。</t>
  </si>
  <si>
    <t>3.1、功能：每日可修改1次，公会会长与副会长可修改。</t>
  </si>
  <si>
    <t>3.2、按钮：按钮有修改与保存两种状态，当未处于修改状态时按钮将显示“修改”文本；当处于修改状态时按钮将显示“保存”。</t>
  </si>
  <si>
    <t>3.3、交互：当修改次数用尽时按钮将置灰处理点击并弹出“今日不可再修改”提示。</t>
  </si>
  <si>
    <t>3.4、显示：无权限修改公告的玩家将不会显示按钮。</t>
  </si>
  <si>
    <t>4、公会信息：显示当前公会信息，对应界面展示内容。</t>
  </si>
  <si>
    <t>4.1、按钮：将会根据成员职位（会长与其他）进行显示变化。</t>
  </si>
  <si>
    <t>4.1.1、会长：按钮为解散公会按钮，点击将弹出二级确认界面。</t>
  </si>
  <si>
    <t>4.1.2、其他：按钮为退出公会按钮，点击将弹出二级确认界面。</t>
  </si>
  <si>
    <t>5、基本信息：显示公会等级与公会资金。</t>
  </si>
  <si>
    <t>5.1、按钮：只有会长将显示该按钮，点击该按钮将消耗对应内容升级。</t>
  </si>
  <si>
    <t>6、玩家信息：显示玩家信息。</t>
  </si>
  <si>
    <t>6.1、贡献按钮：点击将弹出贡献界面。</t>
  </si>
  <si>
    <t>7、页签切换按钮：点击切换页签。</t>
  </si>
  <si>
    <t>龙卫盟副本挑战界面</t>
  </si>
  <si>
    <t>1、展示图：需要美术原画，无过多内容。</t>
  </si>
  <si>
    <t>2、挑战栏位：将展示每个挑战的具体信息。</t>
  </si>
  <si>
    <t>3、头像：显示怪物头像，无过多内容。</t>
  </si>
  <si>
    <t>4、副本信息：显示副本名字与对应等级限制。</t>
  </si>
  <si>
    <t>5、奖励预览：显示每个副本的通关奖励。</t>
  </si>
  <si>
    <t>6、功能按钮：按钮上方有挑战次数，挑战次数耗尽后按钮将置灰处理此时点击需返还“次数已耗尽”提示</t>
  </si>
  <si>
    <t>龙卫盟天赋界面</t>
  </si>
  <si>
    <t>1、公会等级限制：此处显示公会等级条件。</t>
  </si>
  <si>
    <t>2、功能按钮：与原有逻辑保持一致。</t>
  </si>
  <si>
    <t>3、等级展示：显示等级上限与当前等级。</t>
  </si>
  <si>
    <t>4、二级界面：显示对应天赋信息，并将在次数升级。</t>
  </si>
  <si>
    <t>5、货币展示：显示对应货币。</t>
  </si>
  <si>
    <t>龙卫盟成员管理界面</t>
  </si>
  <si>
    <t xml:space="preserve">                                                                                                                                                               </t>
  </si>
  <si>
    <t>1、信息栏：文本内容，将根据以上内容展示公会成员信息。</t>
  </si>
  <si>
    <t>2、在线状态：显示成员在线状态，在线以绿色字体显示，离线将以灰色字体显示。</t>
  </si>
  <si>
    <t>3、在线人数：格式为在线人数/公会总人数</t>
  </si>
  <si>
    <t>4、功能按钮：点击跳转至成员审批界面。</t>
  </si>
  <si>
    <t>4.1、将根据职位判断是否显示按钮。</t>
  </si>
  <si>
    <t>5、调整按钮：点击弹出二级界面。</t>
  </si>
  <si>
    <t>6、调整界面：将显示对应各功能按钮。</t>
  </si>
  <si>
    <t>龙卫盟商城界面</t>
  </si>
  <si>
    <t>1、商品栏：可购买的商品将以该格式显示。</t>
  </si>
  <si>
    <t>2、限购信息：将以已购买/限购数量 展示。</t>
  </si>
  <si>
    <t>3、购买信息：对应价格与购买按钮。</t>
  </si>
  <si>
    <t>3.1、按钮：当购买数量以达到限购数量时，购买按钮将置灰处理。</t>
  </si>
  <si>
    <t>4、购买数量：显示单组数量。</t>
  </si>
  <si>
    <t>龙卫盟成员审批界面</t>
  </si>
  <si>
    <t>注：功能与对应文本相同，不过多描述。</t>
  </si>
  <si>
    <t>1、参数相关：将根据规划后续计划显示的内容。</t>
  </si>
  <si>
    <t>2、交互相关：若当公会成员人满点击同意将无法接收新成员，并根据公会等级返还提示。</t>
  </si>
  <si>
    <t>2.1、若公会等级未满将返还提示“人数已达上限，请提升公会等级”</t>
  </si>
  <si>
    <t>2.2、若公会等级达到上限将返还提示“人数已达上限，无法继续接收新成员”</t>
  </si>
  <si>
    <t>二级确认界面</t>
  </si>
  <si>
    <t>1、确认界面仅有内容为标题、文本、对应功能按钮。</t>
  </si>
  <si>
    <t>2、若有通用二级界面将使用通用界面。</t>
  </si>
  <si>
    <t>龙卫盟捐献界面</t>
  </si>
  <si>
    <t>3、捐献标题：单个捐献项目的标题，为文本内容。</t>
  </si>
  <si>
    <t>4、装饰图标：用以丰富该弹窗画面，无其他功能</t>
  </si>
  <si>
    <t>5、捐献获得：展示捐献后玩家可获得的奖励</t>
  </si>
  <si>
    <t>5.1、奖励内容：在1-3个以内，大部分情况为1</t>
  </si>
  <si>
    <t>6、捐献消耗：显示该类型捐献需要消耗的道具图标和数量</t>
  </si>
  <si>
    <t>6.1、当数量不足时，道具数量需要变为红色作为提示</t>
  </si>
  <si>
    <t>7、捐献按钮：可点击，点击后则消耗对应货币完成捐献，弹出奖励获得弹窗</t>
  </si>
  <si>
    <t>7.1、当捐献次数耗尽后按钮将置灰处理，此时点击需返还“次数已耗尽”提示</t>
  </si>
  <si>
    <t>8、捐献次数：文本内容，显示今日可捐献次数和总次数。</t>
  </si>
  <si>
    <r>
      <rPr>
        <b/>
        <sz val="20"/>
        <color rgb="FFFFFFFF"/>
        <rFont val="微软雅黑"/>
        <charset val="134"/>
      </rPr>
      <t>参考图</t>
    </r>
  </si>
  <si>
    <t>原项目宗门界面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</si>
</sst>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0" fillId="4" borderId="0" xfId="0" applyFill="1">
      <alignment vertical="center"/>
    </xf>
    <xf numFmtId="0" fontId="4" fillId="2" borderId="0" xfId="0" applyFont="1" applyFill="1">
      <alignment vertical="center"/>
    </xf>
    <xf numFmtId="0" fontId="5" fillId="4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0.png"/><Relationship Id="rId8" Type="http://schemas.openxmlformats.org/officeDocument/2006/relationships/image" Target="media/image9.png"/><Relationship Id="rId7" Type="http://schemas.openxmlformats.org/officeDocument/2006/relationships/image" Target="media/image8.png"/><Relationship Id="rId6" Type="http://schemas.openxmlformats.org/officeDocument/2006/relationships/image" Target="media/image7.png"/><Relationship Id="rId5" Type="http://schemas.openxmlformats.org/officeDocument/2006/relationships/image" Target="media/image6.png"/><Relationship Id="rId4" Type="http://schemas.openxmlformats.org/officeDocument/2006/relationships/image" Target="media/image5.png"/><Relationship Id="rId3" Type="http://schemas.openxmlformats.org/officeDocument/2006/relationships/image" Target="media/image4.png"/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20955</xdr:colOff>
      <xdr:row>4</xdr:row>
      <xdr:rowOff>272415</xdr:rowOff>
    </xdr:from>
    <xdr:to>
      <xdr:col>0</xdr:col>
      <xdr:colOff>540385</xdr:colOff>
      <xdr:row>6</xdr:row>
      <xdr:rowOff>102235</xdr:rowOff>
    </xdr:to>
    <xdr:sp>
      <xdr:nvSpPr>
        <xdr:cNvPr id="79" name="矩形 78"/>
        <xdr:cNvSpPr/>
      </xdr:nvSpPr>
      <xdr:spPr>
        <a:xfrm>
          <a:off x="20955" y="1434465"/>
          <a:ext cx="519430" cy="40132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587375</xdr:colOff>
      <xdr:row>6</xdr:row>
      <xdr:rowOff>77470</xdr:rowOff>
    </xdr:from>
    <xdr:to>
      <xdr:col>6</xdr:col>
      <xdr:colOff>387985</xdr:colOff>
      <xdr:row>23</xdr:row>
      <xdr:rowOff>8255</xdr:rowOff>
    </xdr:to>
    <xdr:sp>
      <xdr:nvSpPr>
        <xdr:cNvPr id="80" name="矩形 79"/>
        <xdr:cNvSpPr/>
      </xdr:nvSpPr>
      <xdr:spPr>
        <a:xfrm>
          <a:off x="587375" y="1811020"/>
          <a:ext cx="3915410" cy="478853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243840</xdr:colOff>
      <xdr:row>4</xdr:row>
      <xdr:rowOff>266065</xdr:rowOff>
    </xdr:from>
    <xdr:to>
      <xdr:col>7</xdr:col>
      <xdr:colOff>513715</xdr:colOff>
      <xdr:row>6</xdr:row>
      <xdr:rowOff>62230</xdr:rowOff>
    </xdr:to>
    <xdr:sp>
      <xdr:nvSpPr>
        <xdr:cNvPr id="81" name="矩形 80"/>
        <xdr:cNvSpPr/>
      </xdr:nvSpPr>
      <xdr:spPr>
        <a:xfrm>
          <a:off x="4358640" y="1428115"/>
          <a:ext cx="955675" cy="36766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280670</xdr:colOff>
      <xdr:row>7</xdr:row>
      <xdr:rowOff>137795</xdr:rowOff>
    </xdr:from>
    <xdr:to>
      <xdr:col>16</xdr:col>
      <xdr:colOff>30480</xdr:colOff>
      <xdr:row>16</xdr:row>
      <xdr:rowOff>197485</xdr:rowOff>
    </xdr:to>
    <xdr:sp>
      <xdr:nvSpPr>
        <xdr:cNvPr id="83" name="矩形 82"/>
        <xdr:cNvSpPr/>
      </xdr:nvSpPr>
      <xdr:spPr>
        <a:xfrm>
          <a:off x="9881870" y="2157095"/>
          <a:ext cx="1121410" cy="263144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15240</xdr:colOff>
      <xdr:row>6</xdr:row>
      <xdr:rowOff>89535</xdr:rowOff>
    </xdr:from>
    <xdr:to>
      <xdr:col>13</xdr:col>
      <xdr:colOff>302260</xdr:colOff>
      <xdr:row>10</xdr:row>
      <xdr:rowOff>66040</xdr:rowOff>
    </xdr:to>
    <xdr:sp>
      <xdr:nvSpPr>
        <xdr:cNvPr id="84" name="矩形 83"/>
        <xdr:cNvSpPr/>
      </xdr:nvSpPr>
      <xdr:spPr>
        <a:xfrm>
          <a:off x="5501640" y="1823085"/>
          <a:ext cx="3716020" cy="111950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542925</xdr:colOff>
      <xdr:row>12</xdr:row>
      <xdr:rowOff>7620</xdr:rowOff>
    </xdr:from>
    <xdr:to>
      <xdr:col>13</xdr:col>
      <xdr:colOff>662940</xdr:colOff>
      <xdr:row>16</xdr:row>
      <xdr:rowOff>158750</xdr:rowOff>
    </xdr:to>
    <xdr:sp>
      <xdr:nvSpPr>
        <xdr:cNvPr id="85" name="矩形 84"/>
        <xdr:cNvSpPr/>
      </xdr:nvSpPr>
      <xdr:spPr>
        <a:xfrm>
          <a:off x="5343525" y="3455670"/>
          <a:ext cx="4234815" cy="12941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43815</xdr:colOff>
      <xdr:row>10</xdr:row>
      <xdr:rowOff>101600</xdr:rowOff>
    </xdr:from>
    <xdr:to>
      <xdr:col>11</xdr:col>
      <xdr:colOff>555625</xdr:colOff>
      <xdr:row>11</xdr:row>
      <xdr:rowOff>190500</xdr:rowOff>
    </xdr:to>
    <xdr:sp>
      <xdr:nvSpPr>
        <xdr:cNvPr id="86" name="矩形 85"/>
        <xdr:cNvSpPr/>
      </xdr:nvSpPr>
      <xdr:spPr>
        <a:xfrm>
          <a:off x="6901815" y="2978150"/>
          <a:ext cx="1197610" cy="3746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514985</xdr:colOff>
      <xdr:row>21</xdr:row>
      <xdr:rowOff>41275</xdr:rowOff>
    </xdr:from>
    <xdr:to>
      <xdr:col>4</xdr:col>
      <xdr:colOff>332740</xdr:colOff>
      <xdr:row>22</xdr:row>
      <xdr:rowOff>137160</xdr:rowOff>
    </xdr:to>
    <xdr:sp>
      <xdr:nvSpPr>
        <xdr:cNvPr id="87" name="矩形 86"/>
        <xdr:cNvSpPr/>
      </xdr:nvSpPr>
      <xdr:spPr>
        <a:xfrm>
          <a:off x="1886585" y="6061075"/>
          <a:ext cx="1189355" cy="38163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413385</xdr:colOff>
      <xdr:row>17</xdr:row>
      <xdr:rowOff>267970</xdr:rowOff>
    </xdr:from>
    <xdr:to>
      <xdr:col>14</xdr:col>
      <xdr:colOff>297180</xdr:colOff>
      <xdr:row>23</xdr:row>
      <xdr:rowOff>229235</xdr:rowOff>
    </xdr:to>
    <xdr:sp>
      <xdr:nvSpPr>
        <xdr:cNvPr id="88" name="矩形 87"/>
        <xdr:cNvSpPr/>
      </xdr:nvSpPr>
      <xdr:spPr>
        <a:xfrm>
          <a:off x="5213985" y="5144770"/>
          <a:ext cx="4684395" cy="167576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597535</xdr:colOff>
      <xdr:row>3</xdr:row>
      <xdr:rowOff>143510</xdr:rowOff>
    </xdr:from>
    <xdr:to>
      <xdr:col>1</xdr:col>
      <xdr:colOff>233045</xdr:colOff>
      <xdr:row>4</xdr:row>
      <xdr:rowOff>188595</xdr:rowOff>
    </xdr:to>
    <xdr:sp>
      <xdr:nvSpPr>
        <xdr:cNvPr id="89" name="线形标注 1(无边框) 88"/>
        <xdr:cNvSpPr/>
      </xdr:nvSpPr>
      <xdr:spPr>
        <a:xfrm>
          <a:off x="597535" y="101981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40640</xdr:colOff>
      <xdr:row>3</xdr:row>
      <xdr:rowOff>152400</xdr:rowOff>
    </xdr:from>
    <xdr:to>
      <xdr:col>8</xdr:col>
      <xdr:colOff>361950</xdr:colOff>
      <xdr:row>4</xdr:row>
      <xdr:rowOff>197485</xdr:rowOff>
    </xdr:to>
    <xdr:sp>
      <xdr:nvSpPr>
        <xdr:cNvPr id="90" name="线形标注 1(无边框) 89"/>
        <xdr:cNvSpPr/>
      </xdr:nvSpPr>
      <xdr:spPr>
        <a:xfrm>
          <a:off x="5527040" y="102870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659765</xdr:colOff>
      <xdr:row>11</xdr:row>
      <xdr:rowOff>217805</xdr:rowOff>
    </xdr:from>
    <xdr:to>
      <xdr:col>7</xdr:col>
      <xdr:colOff>295275</xdr:colOff>
      <xdr:row>12</xdr:row>
      <xdr:rowOff>262890</xdr:rowOff>
    </xdr:to>
    <xdr:sp>
      <xdr:nvSpPr>
        <xdr:cNvPr id="91" name="线形标注 1(无边框) 90"/>
        <xdr:cNvSpPr/>
      </xdr:nvSpPr>
      <xdr:spPr>
        <a:xfrm>
          <a:off x="4774565" y="3380105"/>
          <a:ext cx="321310" cy="330835"/>
        </a:xfrm>
        <a:prstGeom prst="callout1">
          <a:avLst>
            <a:gd name="adj1" fmla="val 49769"/>
            <a:gd name="adj2" fmla="val -834"/>
            <a:gd name="adj3" fmla="val -19848"/>
            <a:gd name="adj4" fmla="val -7236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358775</xdr:colOff>
      <xdr:row>4</xdr:row>
      <xdr:rowOff>260985</xdr:rowOff>
    </xdr:from>
    <xdr:to>
      <xdr:col>13</xdr:col>
      <xdr:colOff>680085</xdr:colOff>
      <xdr:row>6</xdr:row>
      <xdr:rowOff>20320</xdr:rowOff>
    </xdr:to>
    <xdr:sp>
      <xdr:nvSpPr>
        <xdr:cNvPr id="92" name="线形标注 1(无边框) 91"/>
        <xdr:cNvSpPr/>
      </xdr:nvSpPr>
      <xdr:spPr>
        <a:xfrm>
          <a:off x="9274175" y="1423035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654050</xdr:colOff>
      <xdr:row>16</xdr:row>
      <xdr:rowOff>140335</xdr:rowOff>
    </xdr:from>
    <xdr:to>
      <xdr:col>14</xdr:col>
      <xdr:colOff>289560</xdr:colOff>
      <xdr:row>17</xdr:row>
      <xdr:rowOff>185420</xdr:rowOff>
    </xdr:to>
    <xdr:sp>
      <xdr:nvSpPr>
        <xdr:cNvPr id="93" name="线形标注 1(无边框) 92"/>
        <xdr:cNvSpPr/>
      </xdr:nvSpPr>
      <xdr:spPr>
        <a:xfrm>
          <a:off x="9569450" y="4731385"/>
          <a:ext cx="321310" cy="330835"/>
        </a:xfrm>
        <a:prstGeom prst="callout1">
          <a:avLst>
            <a:gd name="adj1" fmla="val 49769"/>
            <a:gd name="adj2" fmla="val -834"/>
            <a:gd name="adj3" fmla="val 7169"/>
            <a:gd name="adj4" fmla="val -16003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391795</xdr:colOff>
      <xdr:row>23</xdr:row>
      <xdr:rowOff>45720</xdr:rowOff>
    </xdr:from>
    <xdr:to>
      <xdr:col>15</xdr:col>
      <xdr:colOff>27305</xdr:colOff>
      <xdr:row>24</xdr:row>
      <xdr:rowOff>90805</xdr:rowOff>
    </xdr:to>
    <xdr:sp>
      <xdr:nvSpPr>
        <xdr:cNvPr id="95" name="线形标注 1(无边框) 94"/>
        <xdr:cNvSpPr/>
      </xdr:nvSpPr>
      <xdr:spPr>
        <a:xfrm>
          <a:off x="9992995" y="6637020"/>
          <a:ext cx="321310" cy="330835"/>
        </a:xfrm>
        <a:prstGeom prst="callout1">
          <a:avLst>
            <a:gd name="adj1" fmla="val 49769"/>
            <a:gd name="adj2" fmla="val -834"/>
            <a:gd name="adj3" fmla="val 3962"/>
            <a:gd name="adj4" fmla="val -654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16</xdr:col>
      <xdr:colOff>304800</xdr:colOff>
      <xdr:row>16</xdr:row>
      <xdr:rowOff>139700</xdr:rowOff>
    </xdr:from>
    <xdr:to>
      <xdr:col>16</xdr:col>
      <xdr:colOff>626110</xdr:colOff>
      <xdr:row>17</xdr:row>
      <xdr:rowOff>184785</xdr:rowOff>
    </xdr:to>
    <xdr:sp>
      <xdr:nvSpPr>
        <xdr:cNvPr id="96" name="线形标注 1(无边框) 95"/>
        <xdr:cNvSpPr/>
      </xdr:nvSpPr>
      <xdr:spPr>
        <a:xfrm>
          <a:off x="11277600" y="4730750"/>
          <a:ext cx="321310" cy="330835"/>
        </a:xfrm>
        <a:prstGeom prst="callout1">
          <a:avLst>
            <a:gd name="adj1" fmla="val 49769"/>
            <a:gd name="adj2" fmla="val -834"/>
            <a:gd name="adj3" fmla="val -2830"/>
            <a:gd name="adj4" fmla="val -759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260350</xdr:colOff>
      <xdr:row>16</xdr:row>
      <xdr:rowOff>149225</xdr:rowOff>
    </xdr:from>
    <xdr:to>
      <xdr:col>12</xdr:col>
      <xdr:colOff>86360</xdr:colOff>
      <xdr:row>17</xdr:row>
      <xdr:rowOff>238125</xdr:rowOff>
    </xdr:to>
    <xdr:sp>
      <xdr:nvSpPr>
        <xdr:cNvPr id="4" name="矩形 3"/>
        <xdr:cNvSpPr/>
      </xdr:nvSpPr>
      <xdr:spPr>
        <a:xfrm>
          <a:off x="7118350" y="4740275"/>
          <a:ext cx="1197610" cy="3746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398145</xdr:colOff>
      <xdr:row>20</xdr:row>
      <xdr:rowOff>130175</xdr:rowOff>
    </xdr:from>
    <xdr:to>
      <xdr:col>14</xdr:col>
      <xdr:colOff>190500</xdr:colOff>
      <xdr:row>21</xdr:row>
      <xdr:rowOff>218440</xdr:rowOff>
    </xdr:to>
    <xdr:sp>
      <xdr:nvSpPr>
        <xdr:cNvPr id="5" name="矩形 4"/>
        <xdr:cNvSpPr/>
      </xdr:nvSpPr>
      <xdr:spPr>
        <a:xfrm>
          <a:off x="8627745" y="5864225"/>
          <a:ext cx="1163955" cy="37401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135255</xdr:colOff>
      <xdr:row>30</xdr:row>
      <xdr:rowOff>0</xdr:rowOff>
    </xdr:from>
    <xdr:to>
      <xdr:col>5</xdr:col>
      <xdr:colOff>481330</xdr:colOff>
      <xdr:row>46</xdr:row>
      <xdr:rowOff>71120</xdr:rowOff>
    </xdr:to>
    <xdr:sp>
      <xdr:nvSpPr>
        <xdr:cNvPr id="8" name="矩形 7"/>
        <xdr:cNvSpPr/>
      </xdr:nvSpPr>
      <xdr:spPr>
        <a:xfrm>
          <a:off x="135255" y="8591550"/>
          <a:ext cx="3775075" cy="464312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593725</xdr:colOff>
      <xdr:row>29</xdr:row>
      <xdr:rowOff>218440</xdr:rowOff>
    </xdr:from>
    <xdr:to>
      <xdr:col>13</xdr:col>
      <xdr:colOff>384810</xdr:colOff>
      <xdr:row>34</xdr:row>
      <xdr:rowOff>25400</xdr:rowOff>
    </xdr:to>
    <xdr:sp>
      <xdr:nvSpPr>
        <xdr:cNvPr id="9" name="矩形 8"/>
        <xdr:cNvSpPr/>
      </xdr:nvSpPr>
      <xdr:spPr>
        <a:xfrm>
          <a:off x="4022725" y="8524240"/>
          <a:ext cx="5277485" cy="123571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549275</xdr:colOff>
      <xdr:row>34</xdr:row>
      <xdr:rowOff>8890</xdr:rowOff>
    </xdr:from>
    <xdr:to>
      <xdr:col>7</xdr:col>
      <xdr:colOff>487045</xdr:colOff>
      <xdr:row>38</xdr:row>
      <xdr:rowOff>75565</xdr:rowOff>
    </xdr:to>
    <xdr:sp>
      <xdr:nvSpPr>
        <xdr:cNvPr id="10" name="矩形 9"/>
        <xdr:cNvSpPr/>
      </xdr:nvSpPr>
      <xdr:spPr>
        <a:xfrm>
          <a:off x="3978275" y="9743440"/>
          <a:ext cx="1309370" cy="120967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528955</xdr:colOff>
      <xdr:row>34</xdr:row>
      <xdr:rowOff>55880</xdr:rowOff>
    </xdr:from>
    <xdr:to>
      <xdr:col>10</xdr:col>
      <xdr:colOff>511175</xdr:colOff>
      <xdr:row>35</xdr:row>
      <xdr:rowOff>56515</xdr:rowOff>
    </xdr:to>
    <xdr:sp>
      <xdr:nvSpPr>
        <xdr:cNvPr id="11" name="矩形 10"/>
        <xdr:cNvSpPr/>
      </xdr:nvSpPr>
      <xdr:spPr>
        <a:xfrm>
          <a:off x="5329555" y="9790430"/>
          <a:ext cx="2039620" cy="28638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497840</xdr:colOff>
      <xdr:row>39</xdr:row>
      <xdr:rowOff>193040</xdr:rowOff>
    </xdr:from>
    <xdr:to>
      <xdr:col>12</xdr:col>
      <xdr:colOff>32385</xdr:colOff>
      <xdr:row>42</xdr:row>
      <xdr:rowOff>59690</xdr:rowOff>
    </xdr:to>
    <xdr:sp>
      <xdr:nvSpPr>
        <xdr:cNvPr id="12" name="矩形 11"/>
        <xdr:cNvSpPr/>
      </xdr:nvSpPr>
      <xdr:spPr>
        <a:xfrm>
          <a:off x="5298440" y="11356340"/>
          <a:ext cx="2963545" cy="7239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164465</xdr:colOff>
      <xdr:row>43</xdr:row>
      <xdr:rowOff>133985</xdr:rowOff>
    </xdr:from>
    <xdr:to>
      <xdr:col>13</xdr:col>
      <xdr:colOff>339725</xdr:colOff>
      <xdr:row>45</xdr:row>
      <xdr:rowOff>129540</xdr:rowOff>
    </xdr:to>
    <xdr:sp>
      <xdr:nvSpPr>
        <xdr:cNvPr id="13" name="矩形 12"/>
        <xdr:cNvSpPr/>
      </xdr:nvSpPr>
      <xdr:spPr>
        <a:xfrm>
          <a:off x="8394065" y="12440285"/>
          <a:ext cx="861060" cy="56705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58420</xdr:colOff>
      <xdr:row>28</xdr:row>
      <xdr:rowOff>83820</xdr:rowOff>
    </xdr:from>
    <xdr:to>
      <xdr:col>5</xdr:col>
      <xdr:colOff>379730</xdr:colOff>
      <xdr:row>29</xdr:row>
      <xdr:rowOff>128905</xdr:rowOff>
    </xdr:to>
    <xdr:sp>
      <xdr:nvSpPr>
        <xdr:cNvPr id="14" name="线形标注 1(无边框) 13"/>
        <xdr:cNvSpPr/>
      </xdr:nvSpPr>
      <xdr:spPr>
        <a:xfrm>
          <a:off x="3487420" y="810387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397510</xdr:colOff>
      <xdr:row>28</xdr:row>
      <xdr:rowOff>86995</xdr:rowOff>
    </xdr:from>
    <xdr:to>
      <xdr:col>14</xdr:col>
      <xdr:colOff>33020</xdr:colOff>
      <xdr:row>29</xdr:row>
      <xdr:rowOff>132080</xdr:rowOff>
    </xdr:to>
    <xdr:sp>
      <xdr:nvSpPr>
        <xdr:cNvPr id="15" name="线形标注 1(无边框) 14"/>
        <xdr:cNvSpPr/>
      </xdr:nvSpPr>
      <xdr:spPr>
        <a:xfrm>
          <a:off x="9312910" y="8107045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86995</xdr:colOff>
      <xdr:row>36</xdr:row>
      <xdr:rowOff>34290</xdr:rowOff>
    </xdr:from>
    <xdr:to>
      <xdr:col>8</xdr:col>
      <xdr:colOff>408305</xdr:colOff>
      <xdr:row>37</xdr:row>
      <xdr:rowOff>79375</xdr:rowOff>
    </xdr:to>
    <xdr:sp>
      <xdr:nvSpPr>
        <xdr:cNvPr id="16" name="线形标注 1(无边框) 15"/>
        <xdr:cNvSpPr/>
      </xdr:nvSpPr>
      <xdr:spPr>
        <a:xfrm>
          <a:off x="5573395" y="10340340"/>
          <a:ext cx="321310" cy="330835"/>
        </a:xfrm>
        <a:prstGeom prst="callout1">
          <a:avLst>
            <a:gd name="adj1" fmla="val 49769"/>
            <a:gd name="adj2" fmla="val -834"/>
            <a:gd name="adj3" fmla="val 107169"/>
            <a:gd name="adj4" fmla="val -7924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34290</xdr:colOff>
      <xdr:row>34</xdr:row>
      <xdr:rowOff>205740</xdr:rowOff>
    </xdr:from>
    <xdr:to>
      <xdr:col>11</xdr:col>
      <xdr:colOff>355600</xdr:colOff>
      <xdr:row>35</xdr:row>
      <xdr:rowOff>250825</xdr:rowOff>
    </xdr:to>
    <xdr:sp>
      <xdr:nvSpPr>
        <xdr:cNvPr id="17" name="线形标注 1(无边框) 16"/>
        <xdr:cNvSpPr/>
      </xdr:nvSpPr>
      <xdr:spPr>
        <a:xfrm>
          <a:off x="7578090" y="9940290"/>
          <a:ext cx="321310" cy="330835"/>
        </a:xfrm>
        <a:prstGeom prst="callout1">
          <a:avLst>
            <a:gd name="adj1" fmla="val 49769"/>
            <a:gd name="adj2" fmla="val -834"/>
            <a:gd name="adj3" fmla="val 30566"/>
            <a:gd name="adj4" fmla="val -9328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642620</xdr:colOff>
      <xdr:row>37</xdr:row>
      <xdr:rowOff>281940</xdr:rowOff>
    </xdr:from>
    <xdr:to>
      <xdr:col>11</xdr:col>
      <xdr:colOff>278130</xdr:colOff>
      <xdr:row>39</xdr:row>
      <xdr:rowOff>41275</xdr:rowOff>
    </xdr:to>
    <xdr:sp>
      <xdr:nvSpPr>
        <xdr:cNvPr id="18" name="线形标注 1(无边框) 17"/>
        <xdr:cNvSpPr/>
      </xdr:nvSpPr>
      <xdr:spPr>
        <a:xfrm>
          <a:off x="7500620" y="1087374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621665</xdr:colOff>
      <xdr:row>41</xdr:row>
      <xdr:rowOff>268605</xdr:rowOff>
    </xdr:from>
    <xdr:to>
      <xdr:col>13</xdr:col>
      <xdr:colOff>257175</xdr:colOff>
      <xdr:row>43</xdr:row>
      <xdr:rowOff>27940</xdr:rowOff>
    </xdr:to>
    <xdr:sp>
      <xdr:nvSpPr>
        <xdr:cNvPr id="19" name="线形标注 1(无边框) 18"/>
        <xdr:cNvSpPr/>
      </xdr:nvSpPr>
      <xdr:spPr>
        <a:xfrm>
          <a:off x="8851265" y="12003405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314325</xdr:colOff>
      <xdr:row>53</xdr:row>
      <xdr:rowOff>61595</xdr:rowOff>
    </xdr:from>
    <xdr:to>
      <xdr:col>1</xdr:col>
      <xdr:colOff>178435</xdr:colOff>
      <xdr:row>65</xdr:row>
      <xdr:rowOff>222885</xdr:rowOff>
    </xdr:to>
    <xdr:sp>
      <xdr:nvSpPr>
        <xdr:cNvPr id="21" name="矩形 20"/>
        <xdr:cNvSpPr/>
      </xdr:nvSpPr>
      <xdr:spPr>
        <a:xfrm>
          <a:off x="314325" y="15225395"/>
          <a:ext cx="549910" cy="359029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664210</xdr:colOff>
      <xdr:row>52</xdr:row>
      <xdr:rowOff>256540</xdr:rowOff>
    </xdr:from>
    <xdr:to>
      <xdr:col>13</xdr:col>
      <xdr:colOff>226060</xdr:colOff>
      <xdr:row>57</xdr:row>
      <xdr:rowOff>255270</xdr:rowOff>
    </xdr:to>
    <xdr:sp>
      <xdr:nvSpPr>
        <xdr:cNvPr id="22" name="矩形 21"/>
        <xdr:cNvSpPr/>
      </xdr:nvSpPr>
      <xdr:spPr>
        <a:xfrm>
          <a:off x="6836410" y="15134590"/>
          <a:ext cx="2305050" cy="142748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665480</xdr:colOff>
      <xdr:row>66</xdr:row>
      <xdr:rowOff>186690</xdr:rowOff>
    </xdr:from>
    <xdr:to>
      <xdr:col>12</xdr:col>
      <xdr:colOff>396240</xdr:colOff>
      <xdr:row>67</xdr:row>
      <xdr:rowOff>242570</xdr:rowOff>
    </xdr:to>
    <xdr:sp>
      <xdr:nvSpPr>
        <xdr:cNvPr id="23" name="矩形 22"/>
        <xdr:cNvSpPr/>
      </xdr:nvSpPr>
      <xdr:spPr>
        <a:xfrm>
          <a:off x="7523480" y="19065240"/>
          <a:ext cx="1102360" cy="3416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27305</xdr:colOff>
      <xdr:row>66</xdr:row>
      <xdr:rowOff>118110</xdr:rowOff>
    </xdr:from>
    <xdr:to>
      <xdr:col>8</xdr:col>
      <xdr:colOff>308610</xdr:colOff>
      <xdr:row>68</xdr:row>
      <xdr:rowOff>60960</xdr:rowOff>
    </xdr:to>
    <xdr:sp>
      <xdr:nvSpPr>
        <xdr:cNvPr id="24" name="矩形 23"/>
        <xdr:cNvSpPr/>
      </xdr:nvSpPr>
      <xdr:spPr>
        <a:xfrm>
          <a:off x="2770505" y="18996660"/>
          <a:ext cx="3024505" cy="5143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206375</xdr:colOff>
      <xdr:row>54</xdr:row>
      <xdr:rowOff>73025</xdr:rowOff>
    </xdr:from>
    <xdr:to>
      <xdr:col>4</xdr:col>
      <xdr:colOff>600075</xdr:colOff>
      <xdr:row>55</xdr:row>
      <xdr:rowOff>217805</xdr:rowOff>
    </xdr:to>
    <xdr:sp>
      <xdr:nvSpPr>
        <xdr:cNvPr id="25" name="矩形 24"/>
        <xdr:cNvSpPr/>
      </xdr:nvSpPr>
      <xdr:spPr>
        <a:xfrm>
          <a:off x="2949575" y="15522575"/>
          <a:ext cx="393700" cy="4305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461645</xdr:colOff>
      <xdr:row>74</xdr:row>
      <xdr:rowOff>15240</xdr:rowOff>
    </xdr:from>
    <xdr:to>
      <xdr:col>12</xdr:col>
      <xdr:colOff>100965</xdr:colOff>
      <xdr:row>75</xdr:row>
      <xdr:rowOff>88265</xdr:rowOff>
    </xdr:to>
    <xdr:sp>
      <xdr:nvSpPr>
        <xdr:cNvPr id="27" name="矩形 26"/>
        <xdr:cNvSpPr/>
      </xdr:nvSpPr>
      <xdr:spPr>
        <a:xfrm>
          <a:off x="461645" y="21179790"/>
          <a:ext cx="7868920" cy="35877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61595</xdr:colOff>
      <xdr:row>75</xdr:row>
      <xdr:rowOff>219710</xdr:rowOff>
    </xdr:from>
    <xdr:to>
      <xdr:col>11</xdr:col>
      <xdr:colOff>107315</xdr:colOff>
      <xdr:row>80</xdr:row>
      <xdr:rowOff>0</xdr:rowOff>
    </xdr:to>
    <xdr:sp>
      <xdr:nvSpPr>
        <xdr:cNvPr id="28" name="矩形 27"/>
        <xdr:cNvSpPr/>
      </xdr:nvSpPr>
      <xdr:spPr>
        <a:xfrm>
          <a:off x="6919595" y="21670010"/>
          <a:ext cx="731520" cy="120904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222250</xdr:colOff>
      <xdr:row>88</xdr:row>
      <xdr:rowOff>11430</xdr:rowOff>
    </xdr:from>
    <xdr:to>
      <xdr:col>2</xdr:col>
      <xdr:colOff>9525</xdr:colOff>
      <xdr:row>89</xdr:row>
      <xdr:rowOff>76835</xdr:rowOff>
    </xdr:to>
    <xdr:sp>
      <xdr:nvSpPr>
        <xdr:cNvPr id="29" name="矩形 28"/>
        <xdr:cNvSpPr/>
      </xdr:nvSpPr>
      <xdr:spPr>
        <a:xfrm>
          <a:off x="222250" y="25176480"/>
          <a:ext cx="1158875" cy="35115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22860</xdr:colOff>
      <xdr:row>87</xdr:row>
      <xdr:rowOff>283845</xdr:rowOff>
    </xdr:from>
    <xdr:to>
      <xdr:col>12</xdr:col>
      <xdr:colOff>340360</xdr:colOff>
      <xdr:row>89</xdr:row>
      <xdr:rowOff>18415</xdr:rowOff>
    </xdr:to>
    <xdr:sp>
      <xdr:nvSpPr>
        <xdr:cNvPr id="30" name="矩形 29"/>
        <xdr:cNvSpPr/>
      </xdr:nvSpPr>
      <xdr:spPr>
        <a:xfrm>
          <a:off x="7566660" y="25163145"/>
          <a:ext cx="1003300" cy="30607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358775</xdr:colOff>
      <xdr:row>51</xdr:row>
      <xdr:rowOff>207010</xdr:rowOff>
    </xdr:from>
    <xdr:to>
      <xdr:col>1</xdr:col>
      <xdr:colOff>680085</xdr:colOff>
      <xdr:row>52</xdr:row>
      <xdr:rowOff>252095</xdr:rowOff>
    </xdr:to>
    <xdr:sp>
      <xdr:nvSpPr>
        <xdr:cNvPr id="31" name="线形标注 1(无边框) 30"/>
        <xdr:cNvSpPr/>
      </xdr:nvSpPr>
      <xdr:spPr>
        <a:xfrm>
          <a:off x="1044575" y="1479931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641985</xdr:colOff>
      <xdr:row>64</xdr:row>
      <xdr:rowOff>283845</xdr:rowOff>
    </xdr:from>
    <xdr:to>
      <xdr:col>6</xdr:col>
      <xdr:colOff>277495</xdr:colOff>
      <xdr:row>66</xdr:row>
      <xdr:rowOff>43180</xdr:rowOff>
    </xdr:to>
    <xdr:sp>
      <xdr:nvSpPr>
        <xdr:cNvPr id="32" name="线形标注 1(无边框) 31"/>
        <xdr:cNvSpPr/>
      </xdr:nvSpPr>
      <xdr:spPr>
        <a:xfrm>
          <a:off x="4070985" y="18590895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90170</xdr:colOff>
      <xdr:row>52</xdr:row>
      <xdr:rowOff>252095</xdr:rowOff>
    </xdr:from>
    <xdr:to>
      <xdr:col>5</xdr:col>
      <xdr:colOff>411480</xdr:colOff>
      <xdr:row>54</xdr:row>
      <xdr:rowOff>11430</xdr:rowOff>
    </xdr:to>
    <xdr:sp>
      <xdr:nvSpPr>
        <xdr:cNvPr id="33" name="线形标注 1(无边框) 32"/>
        <xdr:cNvSpPr/>
      </xdr:nvSpPr>
      <xdr:spPr>
        <a:xfrm>
          <a:off x="3519170" y="15130145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672465</xdr:colOff>
      <xdr:row>51</xdr:row>
      <xdr:rowOff>117475</xdr:rowOff>
    </xdr:from>
    <xdr:to>
      <xdr:col>13</xdr:col>
      <xdr:colOff>307975</xdr:colOff>
      <xdr:row>52</xdr:row>
      <xdr:rowOff>162560</xdr:rowOff>
    </xdr:to>
    <xdr:sp>
      <xdr:nvSpPr>
        <xdr:cNvPr id="34" name="线形标注 1(无边框) 33"/>
        <xdr:cNvSpPr/>
      </xdr:nvSpPr>
      <xdr:spPr>
        <a:xfrm>
          <a:off x="8902065" y="14709775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170180</xdr:colOff>
      <xdr:row>65</xdr:row>
      <xdr:rowOff>60960</xdr:rowOff>
    </xdr:from>
    <xdr:to>
      <xdr:col>12</xdr:col>
      <xdr:colOff>491490</xdr:colOff>
      <xdr:row>66</xdr:row>
      <xdr:rowOff>106045</xdr:rowOff>
    </xdr:to>
    <xdr:sp>
      <xdr:nvSpPr>
        <xdr:cNvPr id="35" name="线形标注 1(无边框) 34"/>
        <xdr:cNvSpPr/>
      </xdr:nvSpPr>
      <xdr:spPr>
        <a:xfrm>
          <a:off x="8399780" y="1865376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371475</xdr:colOff>
      <xdr:row>72</xdr:row>
      <xdr:rowOff>151130</xdr:rowOff>
    </xdr:from>
    <xdr:to>
      <xdr:col>12</xdr:col>
      <xdr:colOff>6985</xdr:colOff>
      <xdr:row>73</xdr:row>
      <xdr:rowOff>196215</xdr:rowOff>
    </xdr:to>
    <xdr:sp>
      <xdr:nvSpPr>
        <xdr:cNvPr id="36" name="线形标注 1(无边框) 35"/>
        <xdr:cNvSpPr/>
      </xdr:nvSpPr>
      <xdr:spPr>
        <a:xfrm>
          <a:off x="7915275" y="2074418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239395</xdr:colOff>
      <xdr:row>80</xdr:row>
      <xdr:rowOff>52705</xdr:rowOff>
    </xdr:from>
    <xdr:to>
      <xdr:col>10</xdr:col>
      <xdr:colOff>560705</xdr:colOff>
      <xdr:row>81</xdr:row>
      <xdr:rowOff>97790</xdr:rowOff>
    </xdr:to>
    <xdr:sp>
      <xdr:nvSpPr>
        <xdr:cNvPr id="37" name="线形标注 1(无边框) 36"/>
        <xdr:cNvSpPr/>
      </xdr:nvSpPr>
      <xdr:spPr>
        <a:xfrm>
          <a:off x="7097395" y="22931755"/>
          <a:ext cx="321310" cy="330835"/>
        </a:xfrm>
        <a:prstGeom prst="callout1">
          <a:avLst>
            <a:gd name="adj1" fmla="val 49769"/>
            <a:gd name="adj2" fmla="val -834"/>
            <a:gd name="adj3" fmla="val -20793"/>
            <a:gd name="adj4" fmla="val -2707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299720</xdr:colOff>
      <xdr:row>88</xdr:row>
      <xdr:rowOff>140335</xdr:rowOff>
    </xdr:from>
    <xdr:to>
      <xdr:col>2</xdr:col>
      <xdr:colOff>621030</xdr:colOff>
      <xdr:row>89</xdr:row>
      <xdr:rowOff>185420</xdr:rowOff>
    </xdr:to>
    <xdr:sp>
      <xdr:nvSpPr>
        <xdr:cNvPr id="38" name="线形标注 1(无边框) 37"/>
        <xdr:cNvSpPr/>
      </xdr:nvSpPr>
      <xdr:spPr>
        <a:xfrm>
          <a:off x="1671320" y="25305385"/>
          <a:ext cx="321310" cy="330835"/>
        </a:xfrm>
        <a:prstGeom prst="callout1">
          <a:avLst>
            <a:gd name="adj1" fmla="val 49769"/>
            <a:gd name="adj2" fmla="val -834"/>
            <a:gd name="adj3" fmla="val 9276"/>
            <a:gd name="adj4" fmla="val -7932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605790</xdr:colOff>
      <xdr:row>88</xdr:row>
      <xdr:rowOff>154940</xdr:rowOff>
    </xdr:from>
    <xdr:to>
      <xdr:col>13</xdr:col>
      <xdr:colOff>241300</xdr:colOff>
      <xdr:row>89</xdr:row>
      <xdr:rowOff>200025</xdr:rowOff>
    </xdr:to>
    <xdr:sp>
      <xdr:nvSpPr>
        <xdr:cNvPr id="39" name="线形标注 1(无边框) 38"/>
        <xdr:cNvSpPr/>
      </xdr:nvSpPr>
      <xdr:spPr>
        <a:xfrm>
          <a:off x="8835390" y="25319990"/>
          <a:ext cx="321310" cy="330835"/>
        </a:xfrm>
        <a:prstGeom prst="callout1">
          <a:avLst>
            <a:gd name="adj1" fmla="val 49769"/>
            <a:gd name="adj2" fmla="val -834"/>
            <a:gd name="adj3" fmla="val 9276"/>
            <a:gd name="adj4" fmla="val -7932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269875</xdr:colOff>
      <xdr:row>95</xdr:row>
      <xdr:rowOff>71755</xdr:rowOff>
    </xdr:from>
    <xdr:to>
      <xdr:col>3</xdr:col>
      <xdr:colOff>616585</xdr:colOff>
      <xdr:row>98</xdr:row>
      <xdr:rowOff>77470</xdr:rowOff>
    </xdr:to>
    <xdr:sp>
      <xdr:nvSpPr>
        <xdr:cNvPr id="41" name="矩形 40"/>
        <xdr:cNvSpPr/>
      </xdr:nvSpPr>
      <xdr:spPr>
        <a:xfrm>
          <a:off x="269875" y="27237055"/>
          <a:ext cx="2404110" cy="86296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528955</xdr:colOff>
      <xdr:row>97</xdr:row>
      <xdr:rowOff>85090</xdr:rowOff>
    </xdr:from>
    <xdr:to>
      <xdr:col>7</xdr:col>
      <xdr:colOff>627380</xdr:colOff>
      <xdr:row>98</xdr:row>
      <xdr:rowOff>68580</xdr:rowOff>
    </xdr:to>
    <xdr:sp>
      <xdr:nvSpPr>
        <xdr:cNvPr id="42" name="矩形 41"/>
        <xdr:cNvSpPr/>
      </xdr:nvSpPr>
      <xdr:spPr>
        <a:xfrm>
          <a:off x="3957955" y="27821890"/>
          <a:ext cx="1470025" cy="26924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314325</xdr:colOff>
      <xdr:row>95</xdr:row>
      <xdr:rowOff>44450</xdr:rowOff>
    </xdr:from>
    <xdr:to>
      <xdr:col>8</xdr:col>
      <xdr:colOff>34290</xdr:colOff>
      <xdr:row>96</xdr:row>
      <xdr:rowOff>118110</xdr:rowOff>
    </xdr:to>
    <xdr:sp>
      <xdr:nvSpPr>
        <xdr:cNvPr id="43" name="矩形 42"/>
        <xdr:cNvSpPr/>
      </xdr:nvSpPr>
      <xdr:spPr>
        <a:xfrm>
          <a:off x="5114925" y="27209750"/>
          <a:ext cx="405765" cy="35941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335280</xdr:colOff>
      <xdr:row>97</xdr:row>
      <xdr:rowOff>100330</xdr:rowOff>
    </xdr:from>
    <xdr:to>
      <xdr:col>9</xdr:col>
      <xdr:colOff>615315</xdr:colOff>
      <xdr:row>98</xdr:row>
      <xdr:rowOff>150495</xdr:rowOff>
    </xdr:to>
    <xdr:sp>
      <xdr:nvSpPr>
        <xdr:cNvPr id="44" name="矩形 43"/>
        <xdr:cNvSpPr/>
      </xdr:nvSpPr>
      <xdr:spPr>
        <a:xfrm>
          <a:off x="6507480" y="27837130"/>
          <a:ext cx="280035" cy="33591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206375</xdr:colOff>
      <xdr:row>93</xdr:row>
      <xdr:rowOff>199390</xdr:rowOff>
    </xdr:from>
    <xdr:to>
      <xdr:col>3</xdr:col>
      <xdr:colOff>527685</xdr:colOff>
      <xdr:row>94</xdr:row>
      <xdr:rowOff>244475</xdr:rowOff>
    </xdr:to>
    <xdr:sp>
      <xdr:nvSpPr>
        <xdr:cNvPr id="45" name="线形标注 1(无边框) 44"/>
        <xdr:cNvSpPr/>
      </xdr:nvSpPr>
      <xdr:spPr>
        <a:xfrm>
          <a:off x="2263775" y="2679319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142875</xdr:colOff>
      <xdr:row>93</xdr:row>
      <xdr:rowOff>208280</xdr:rowOff>
    </xdr:from>
    <xdr:to>
      <xdr:col>8</xdr:col>
      <xdr:colOff>464185</xdr:colOff>
      <xdr:row>94</xdr:row>
      <xdr:rowOff>253365</xdr:rowOff>
    </xdr:to>
    <xdr:sp>
      <xdr:nvSpPr>
        <xdr:cNvPr id="46" name="线形标注 1(无边框) 45"/>
        <xdr:cNvSpPr/>
      </xdr:nvSpPr>
      <xdr:spPr>
        <a:xfrm>
          <a:off x="5629275" y="2680208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471170</xdr:colOff>
      <xdr:row>95</xdr:row>
      <xdr:rowOff>161290</xdr:rowOff>
    </xdr:from>
    <xdr:to>
      <xdr:col>7</xdr:col>
      <xdr:colOff>106680</xdr:colOff>
      <xdr:row>96</xdr:row>
      <xdr:rowOff>206375</xdr:rowOff>
    </xdr:to>
    <xdr:sp>
      <xdr:nvSpPr>
        <xdr:cNvPr id="47" name="线形标注 1(无边框) 46"/>
        <xdr:cNvSpPr/>
      </xdr:nvSpPr>
      <xdr:spPr>
        <a:xfrm>
          <a:off x="4585970" y="2732659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564515</xdr:colOff>
      <xdr:row>95</xdr:row>
      <xdr:rowOff>264795</xdr:rowOff>
    </xdr:from>
    <xdr:to>
      <xdr:col>10</xdr:col>
      <xdr:colOff>200025</xdr:colOff>
      <xdr:row>97</xdr:row>
      <xdr:rowOff>24130</xdr:rowOff>
    </xdr:to>
    <xdr:sp>
      <xdr:nvSpPr>
        <xdr:cNvPr id="48" name="线形标注 1(无边框) 47"/>
        <xdr:cNvSpPr/>
      </xdr:nvSpPr>
      <xdr:spPr>
        <a:xfrm>
          <a:off x="6736715" y="27430095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529590</xdr:colOff>
      <xdr:row>109</xdr:row>
      <xdr:rowOff>48260</xdr:rowOff>
    </xdr:from>
    <xdr:to>
      <xdr:col>12</xdr:col>
      <xdr:colOff>212725</xdr:colOff>
      <xdr:row>110</xdr:row>
      <xdr:rowOff>98425</xdr:rowOff>
    </xdr:to>
    <xdr:sp>
      <xdr:nvSpPr>
        <xdr:cNvPr id="49" name="矩形 48"/>
        <xdr:cNvSpPr/>
      </xdr:nvSpPr>
      <xdr:spPr>
        <a:xfrm>
          <a:off x="7387590" y="31214060"/>
          <a:ext cx="1054735" cy="33591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142240</xdr:colOff>
      <xdr:row>107</xdr:row>
      <xdr:rowOff>161290</xdr:rowOff>
    </xdr:from>
    <xdr:to>
      <xdr:col>12</xdr:col>
      <xdr:colOff>463550</xdr:colOff>
      <xdr:row>108</xdr:row>
      <xdr:rowOff>206375</xdr:rowOff>
    </xdr:to>
    <xdr:sp>
      <xdr:nvSpPr>
        <xdr:cNvPr id="50" name="线形标注 1(无边框) 49"/>
        <xdr:cNvSpPr/>
      </xdr:nvSpPr>
      <xdr:spPr>
        <a:xfrm>
          <a:off x="8371840" y="30755590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333375</xdr:colOff>
      <xdr:row>75</xdr:row>
      <xdr:rowOff>172085</xdr:rowOff>
    </xdr:from>
    <xdr:to>
      <xdr:col>12</xdr:col>
      <xdr:colOff>302260</xdr:colOff>
      <xdr:row>79</xdr:row>
      <xdr:rowOff>260985</xdr:rowOff>
    </xdr:to>
    <xdr:sp>
      <xdr:nvSpPr>
        <xdr:cNvPr id="52" name="矩形 51"/>
        <xdr:cNvSpPr/>
      </xdr:nvSpPr>
      <xdr:spPr>
        <a:xfrm>
          <a:off x="7877175" y="21622385"/>
          <a:ext cx="654685" cy="12319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101600</xdr:colOff>
      <xdr:row>73</xdr:row>
      <xdr:rowOff>46990</xdr:rowOff>
    </xdr:from>
    <xdr:to>
      <xdr:col>14</xdr:col>
      <xdr:colOff>81915</xdr:colOff>
      <xdr:row>76</xdr:row>
      <xdr:rowOff>113665</xdr:rowOff>
    </xdr:to>
    <xdr:sp>
      <xdr:nvSpPr>
        <xdr:cNvPr id="54" name="矩形 53"/>
        <xdr:cNvSpPr/>
      </xdr:nvSpPr>
      <xdr:spPr>
        <a:xfrm>
          <a:off x="8331200" y="20925790"/>
          <a:ext cx="1351915" cy="9239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662940</xdr:colOff>
      <xdr:row>80</xdr:row>
      <xdr:rowOff>57785</xdr:rowOff>
    </xdr:from>
    <xdr:to>
      <xdr:col>12</xdr:col>
      <xdr:colOff>298450</xdr:colOff>
      <xdr:row>81</xdr:row>
      <xdr:rowOff>102870</xdr:rowOff>
    </xdr:to>
    <xdr:sp>
      <xdr:nvSpPr>
        <xdr:cNvPr id="55" name="线形标注 1(无边框) 54"/>
        <xdr:cNvSpPr/>
      </xdr:nvSpPr>
      <xdr:spPr>
        <a:xfrm>
          <a:off x="8206740" y="22936835"/>
          <a:ext cx="321310" cy="330835"/>
        </a:xfrm>
        <a:prstGeom prst="callout1">
          <a:avLst>
            <a:gd name="adj1" fmla="val 49769"/>
            <a:gd name="adj2" fmla="val -834"/>
            <a:gd name="adj3" fmla="val -13988"/>
            <a:gd name="adj4" fmla="val -6540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283210</xdr:colOff>
      <xdr:row>74</xdr:row>
      <xdr:rowOff>274955</xdr:rowOff>
    </xdr:from>
    <xdr:to>
      <xdr:col>14</xdr:col>
      <xdr:colOff>604520</xdr:colOff>
      <xdr:row>76</xdr:row>
      <xdr:rowOff>34290</xdr:rowOff>
    </xdr:to>
    <xdr:sp>
      <xdr:nvSpPr>
        <xdr:cNvPr id="56" name="线形标注 1(无边框) 55"/>
        <xdr:cNvSpPr/>
      </xdr:nvSpPr>
      <xdr:spPr>
        <a:xfrm>
          <a:off x="9884410" y="21439505"/>
          <a:ext cx="321310" cy="330835"/>
        </a:xfrm>
        <a:prstGeom prst="callout1">
          <a:avLst>
            <a:gd name="adj1" fmla="val 49769"/>
            <a:gd name="adj2" fmla="val -834"/>
            <a:gd name="adj3" fmla="val -13988"/>
            <a:gd name="adj4" fmla="val -6540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278765</xdr:colOff>
      <xdr:row>115</xdr:row>
      <xdr:rowOff>82550</xdr:rowOff>
    </xdr:from>
    <xdr:to>
      <xdr:col>10</xdr:col>
      <xdr:colOff>525145</xdr:colOff>
      <xdr:row>118</xdr:row>
      <xdr:rowOff>200025</xdr:rowOff>
    </xdr:to>
    <xdr:sp>
      <xdr:nvSpPr>
        <xdr:cNvPr id="58" name="矩形 57"/>
        <xdr:cNvSpPr/>
      </xdr:nvSpPr>
      <xdr:spPr>
        <a:xfrm>
          <a:off x="3707765" y="32962850"/>
          <a:ext cx="3675380" cy="9747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635</xdr:colOff>
      <xdr:row>148</xdr:row>
      <xdr:rowOff>259715</xdr:rowOff>
    </xdr:from>
    <xdr:to>
      <xdr:col>15</xdr:col>
      <xdr:colOff>189230</xdr:colOff>
      <xdr:row>170</xdr:row>
      <xdr:rowOff>249555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2493565"/>
          <a:ext cx="10475595" cy="6276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200025</xdr:colOff>
      <xdr:row>149</xdr:row>
      <xdr:rowOff>181610</xdr:rowOff>
    </xdr:from>
    <xdr:to>
      <xdr:col>15</xdr:col>
      <xdr:colOff>66040</xdr:colOff>
      <xdr:row>151</xdr:row>
      <xdr:rowOff>90170</xdr:rowOff>
    </xdr:to>
    <xdr:sp>
      <xdr:nvSpPr>
        <xdr:cNvPr id="3" name="矩形 2"/>
        <xdr:cNvSpPr/>
      </xdr:nvSpPr>
      <xdr:spPr>
        <a:xfrm>
          <a:off x="9801225" y="42701210"/>
          <a:ext cx="551815" cy="4800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74930</xdr:colOff>
      <xdr:row>149</xdr:row>
      <xdr:rowOff>231140</xdr:rowOff>
    </xdr:from>
    <xdr:to>
      <xdr:col>9</xdr:col>
      <xdr:colOff>502285</xdr:colOff>
      <xdr:row>151</xdr:row>
      <xdr:rowOff>106680</xdr:rowOff>
    </xdr:to>
    <xdr:sp>
      <xdr:nvSpPr>
        <xdr:cNvPr id="6" name="矩形 5"/>
        <xdr:cNvSpPr/>
      </xdr:nvSpPr>
      <xdr:spPr>
        <a:xfrm>
          <a:off x="3503930" y="42750740"/>
          <a:ext cx="3170555" cy="44704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648970</xdr:colOff>
      <xdr:row>165</xdr:row>
      <xdr:rowOff>248285</xdr:rowOff>
    </xdr:from>
    <xdr:to>
      <xdr:col>4</xdr:col>
      <xdr:colOff>622935</xdr:colOff>
      <xdr:row>167</xdr:row>
      <xdr:rowOff>259715</xdr:rowOff>
    </xdr:to>
    <xdr:sp>
      <xdr:nvSpPr>
        <xdr:cNvPr id="7" name="矩形 6"/>
        <xdr:cNvSpPr/>
      </xdr:nvSpPr>
      <xdr:spPr>
        <a:xfrm>
          <a:off x="1334770" y="47339885"/>
          <a:ext cx="2031365" cy="5829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483870</xdr:colOff>
      <xdr:row>152</xdr:row>
      <xdr:rowOff>134620</xdr:rowOff>
    </xdr:from>
    <xdr:to>
      <xdr:col>5</xdr:col>
      <xdr:colOff>200025</xdr:colOff>
      <xdr:row>154</xdr:row>
      <xdr:rowOff>99060</xdr:rowOff>
    </xdr:to>
    <xdr:sp>
      <xdr:nvSpPr>
        <xdr:cNvPr id="20" name="矩形 19"/>
        <xdr:cNvSpPr/>
      </xdr:nvSpPr>
      <xdr:spPr>
        <a:xfrm>
          <a:off x="1169670" y="43511470"/>
          <a:ext cx="2459355" cy="53594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170815</xdr:colOff>
      <xdr:row>154</xdr:row>
      <xdr:rowOff>167005</xdr:rowOff>
    </xdr:from>
    <xdr:to>
      <xdr:col>4</xdr:col>
      <xdr:colOff>469265</xdr:colOff>
      <xdr:row>159</xdr:row>
      <xdr:rowOff>93980</xdr:rowOff>
    </xdr:to>
    <xdr:sp>
      <xdr:nvSpPr>
        <xdr:cNvPr id="26" name="矩形 25"/>
        <xdr:cNvSpPr/>
      </xdr:nvSpPr>
      <xdr:spPr>
        <a:xfrm>
          <a:off x="1542415" y="44115355"/>
          <a:ext cx="1670050" cy="13557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156210</xdr:colOff>
      <xdr:row>167</xdr:row>
      <xdr:rowOff>269875</xdr:rowOff>
    </xdr:from>
    <xdr:to>
      <xdr:col>4</xdr:col>
      <xdr:colOff>442595</xdr:colOff>
      <xdr:row>168</xdr:row>
      <xdr:rowOff>264160</xdr:rowOff>
    </xdr:to>
    <xdr:sp>
      <xdr:nvSpPr>
        <xdr:cNvPr id="40" name="矩形 39"/>
        <xdr:cNvSpPr/>
      </xdr:nvSpPr>
      <xdr:spPr>
        <a:xfrm>
          <a:off x="1527810" y="47932975"/>
          <a:ext cx="1657985" cy="28003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276860</xdr:colOff>
      <xdr:row>159</xdr:row>
      <xdr:rowOff>187960</xdr:rowOff>
    </xdr:from>
    <xdr:to>
      <xdr:col>5</xdr:col>
      <xdr:colOff>306705</xdr:colOff>
      <xdr:row>163</xdr:row>
      <xdr:rowOff>250190</xdr:rowOff>
    </xdr:to>
    <xdr:sp>
      <xdr:nvSpPr>
        <xdr:cNvPr id="51" name="矩形 50"/>
        <xdr:cNvSpPr/>
      </xdr:nvSpPr>
      <xdr:spPr>
        <a:xfrm>
          <a:off x="962660" y="45565060"/>
          <a:ext cx="2773045" cy="12052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238125</xdr:colOff>
      <xdr:row>148</xdr:row>
      <xdr:rowOff>154305</xdr:rowOff>
    </xdr:from>
    <xdr:to>
      <xdr:col>15</xdr:col>
      <xdr:colOff>559435</xdr:colOff>
      <xdr:row>149</xdr:row>
      <xdr:rowOff>199390</xdr:rowOff>
    </xdr:to>
    <xdr:sp>
      <xdr:nvSpPr>
        <xdr:cNvPr id="53" name="线形标注 1(无边框) 52"/>
        <xdr:cNvSpPr/>
      </xdr:nvSpPr>
      <xdr:spPr>
        <a:xfrm>
          <a:off x="10525125" y="42388155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219710</xdr:colOff>
      <xdr:row>148</xdr:row>
      <xdr:rowOff>73025</xdr:rowOff>
    </xdr:from>
    <xdr:to>
      <xdr:col>9</xdr:col>
      <xdr:colOff>541020</xdr:colOff>
      <xdr:row>149</xdr:row>
      <xdr:rowOff>118110</xdr:rowOff>
    </xdr:to>
    <xdr:sp>
      <xdr:nvSpPr>
        <xdr:cNvPr id="57" name="线形标注 1(无边框) 56"/>
        <xdr:cNvSpPr/>
      </xdr:nvSpPr>
      <xdr:spPr>
        <a:xfrm>
          <a:off x="6391910" y="42306875"/>
          <a:ext cx="321310" cy="330835"/>
        </a:xfrm>
        <a:prstGeom prst="callout1">
          <a:avLst>
            <a:gd name="adj1" fmla="val 49769"/>
            <a:gd name="adj2" fmla="val -834"/>
            <a:gd name="adj3" fmla="val 133714"/>
            <a:gd name="adj4" fmla="val -549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536575</xdr:colOff>
      <xdr:row>153</xdr:row>
      <xdr:rowOff>250825</xdr:rowOff>
    </xdr:from>
    <xdr:to>
      <xdr:col>6</xdr:col>
      <xdr:colOff>172085</xdr:colOff>
      <xdr:row>155</xdr:row>
      <xdr:rowOff>10160</xdr:rowOff>
    </xdr:to>
    <xdr:sp>
      <xdr:nvSpPr>
        <xdr:cNvPr id="59" name="线形标注 1(无边框) 58"/>
        <xdr:cNvSpPr/>
      </xdr:nvSpPr>
      <xdr:spPr>
        <a:xfrm>
          <a:off x="3965575" y="43913425"/>
          <a:ext cx="321310" cy="330835"/>
        </a:xfrm>
        <a:prstGeom prst="callout1">
          <a:avLst>
            <a:gd name="adj1" fmla="val 49769"/>
            <a:gd name="adj2" fmla="val -834"/>
            <a:gd name="adj3" fmla="val -19848"/>
            <a:gd name="adj4" fmla="val -7236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145415</xdr:colOff>
      <xdr:row>156</xdr:row>
      <xdr:rowOff>36830</xdr:rowOff>
    </xdr:from>
    <xdr:to>
      <xdr:col>5</xdr:col>
      <xdr:colOff>466725</xdr:colOff>
      <xdr:row>157</xdr:row>
      <xdr:rowOff>81915</xdr:rowOff>
    </xdr:to>
    <xdr:sp>
      <xdr:nvSpPr>
        <xdr:cNvPr id="60" name="线形标注 1(无边框) 59"/>
        <xdr:cNvSpPr/>
      </xdr:nvSpPr>
      <xdr:spPr>
        <a:xfrm>
          <a:off x="3574415" y="44556680"/>
          <a:ext cx="321310" cy="330835"/>
        </a:xfrm>
        <a:prstGeom prst="callout1">
          <a:avLst>
            <a:gd name="adj1" fmla="val 49769"/>
            <a:gd name="adj2" fmla="val -834"/>
            <a:gd name="adj3" fmla="val 57169"/>
            <a:gd name="adj4" fmla="val -9328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116205</xdr:colOff>
      <xdr:row>161</xdr:row>
      <xdr:rowOff>207010</xdr:rowOff>
    </xdr:from>
    <xdr:to>
      <xdr:col>6</xdr:col>
      <xdr:colOff>437515</xdr:colOff>
      <xdr:row>162</xdr:row>
      <xdr:rowOff>252095</xdr:rowOff>
    </xdr:to>
    <xdr:sp>
      <xdr:nvSpPr>
        <xdr:cNvPr id="61" name="线形标注 1(无边框) 60"/>
        <xdr:cNvSpPr/>
      </xdr:nvSpPr>
      <xdr:spPr>
        <a:xfrm>
          <a:off x="4231005" y="46155610"/>
          <a:ext cx="321310" cy="330835"/>
        </a:xfrm>
        <a:prstGeom prst="callout1">
          <a:avLst>
            <a:gd name="adj1" fmla="val 49769"/>
            <a:gd name="adj2" fmla="val -834"/>
            <a:gd name="adj3" fmla="val 7169"/>
            <a:gd name="adj4" fmla="val -16003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267970</xdr:colOff>
      <xdr:row>164</xdr:row>
      <xdr:rowOff>191135</xdr:rowOff>
    </xdr:from>
    <xdr:to>
      <xdr:col>5</xdr:col>
      <xdr:colOff>589280</xdr:colOff>
      <xdr:row>165</xdr:row>
      <xdr:rowOff>236220</xdr:rowOff>
    </xdr:to>
    <xdr:sp>
      <xdr:nvSpPr>
        <xdr:cNvPr id="62" name="线形标注 1(无边框) 61"/>
        <xdr:cNvSpPr/>
      </xdr:nvSpPr>
      <xdr:spPr>
        <a:xfrm>
          <a:off x="3696970" y="46996985"/>
          <a:ext cx="321310" cy="330835"/>
        </a:xfrm>
        <a:prstGeom prst="callout1">
          <a:avLst>
            <a:gd name="adj1" fmla="val 49769"/>
            <a:gd name="adj2" fmla="val -834"/>
            <a:gd name="adj3" fmla="val 3962"/>
            <a:gd name="adj4" fmla="val -654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304800</xdr:colOff>
      <xdr:row>166</xdr:row>
      <xdr:rowOff>240030</xdr:rowOff>
    </xdr:from>
    <xdr:to>
      <xdr:col>5</xdr:col>
      <xdr:colOff>626110</xdr:colOff>
      <xdr:row>167</xdr:row>
      <xdr:rowOff>285115</xdr:rowOff>
    </xdr:to>
    <xdr:sp>
      <xdr:nvSpPr>
        <xdr:cNvPr id="63" name="线形标注 1(无边框) 62"/>
        <xdr:cNvSpPr/>
      </xdr:nvSpPr>
      <xdr:spPr>
        <a:xfrm>
          <a:off x="3733800" y="47617380"/>
          <a:ext cx="321310" cy="330835"/>
        </a:xfrm>
        <a:prstGeom prst="callout1">
          <a:avLst>
            <a:gd name="adj1" fmla="val 49769"/>
            <a:gd name="adj2" fmla="val -834"/>
            <a:gd name="adj3" fmla="val -2830"/>
            <a:gd name="adj4" fmla="val -759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654050</xdr:colOff>
      <xdr:row>163</xdr:row>
      <xdr:rowOff>263525</xdr:rowOff>
    </xdr:from>
    <xdr:to>
      <xdr:col>4</xdr:col>
      <xdr:colOff>625475</xdr:colOff>
      <xdr:row>165</xdr:row>
      <xdr:rowOff>222885</xdr:rowOff>
    </xdr:to>
    <xdr:sp>
      <xdr:nvSpPr>
        <xdr:cNvPr id="64" name="矩形 63"/>
        <xdr:cNvSpPr/>
      </xdr:nvSpPr>
      <xdr:spPr>
        <a:xfrm>
          <a:off x="1339850" y="46783625"/>
          <a:ext cx="2028825" cy="5308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50165</xdr:colOff>
      <xdr:row>168</xdr:row>
      <xdr:rowOff>249555</xdr:rowOff>
    </xdr:from>
    <xdr:to>
      <xdr:col>5</xdr:col>
      <xdr:colOff>371475</xdr:colOff>
      <xdr:row>170</xdr:row>
      <xdr:rowOff>8890</xdr:rowOff>
    </xdr:to>
    <xdr:sp>
      <xdr:nvSpPr>
        <xdr:cNvPr id="65" name="线形标注 1(无边框) 64"/>
        <xdr:cNvSpPr/>
      </xdr:nvSpPr>
      <xdr:spPr>
        <a:xfrm>
          <a:off x="3479165" y="48198405"/>
          <a:ext cx="321310" cy="330835"/>
        </a:xfrm>
        <a:prstGeom prst="callout1">
          <a:avLst>
            <a:gd name="adj1" fmla="val 49769"/>
            <a:gd name="adj2" fmla="val -834"/>
            <a:gd name="adj3" fmla="val -2830"/>
            <a:gd name="adj4" fmla="val -759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5"/>
  <sheetViews>
    <sheetView workbookViewId="0">
      <selection activeCell="C39" sqref="C39"/>
    </sheetView>
  </sheetViews>
  <sheetFormatPr defaultColWidth="9" defaultRowHeight="13.5" outlineLevelCol="3"/>
  <cols>
    <col min="2" max="2" width="11.5" customWidth="1"/>
    <col min="3" max="3" width="25.375" customWidth="1"/>
    <col min="4" max="4" width="7" customWidth="1"/>
  </cols>
  <sheetData>
    <row r="2" spans="2:4">
      <c r="B2" s="10" t="s">
        <v>0</v>
      </c>
      <c r="C2" s="11" t="s">
        <v>1</v>
      </c>
      <c r="D2" s="11"/>
    </row>
    <row r="3" spans="2:4">
      <c r="B3" s="12" t="s">
        <v>2</v>
      </c>
      <c r="C3" s="13" t="s">
        <v>3</v>
      </c>
      <c r="D3" s="13" t="s">
        <v>4</v>
      </c>
    </row>
    <row r="4" spans="2:4">
      <c r="B4" s="14">
        <v>45366</v>
      </c>
      <c r="C4" s="15" t="s">
        <v>5</v>
      </c>
      <c r="D4" s="15" t="s">
        <v>6</v>
      </c>
    </row>
    <row r="5" spans="2:4">
      <c r="B5" s="14"/>
      <c r="C5" s="15"/>
      <c r="D5" s="15"/>
    </row>
    <row r="6" spans="2:4">
      <c r="B6" s="16"/>
      <c r="C6" s="15"/>
      <c r="D6" s="15"/>
    </row>
    <row r="7" spans="2:4">
      <c r="B7" s="16"/>
      <c r="C7" s="15"/>
      <c r="D7" s="15"/>
    </row>
    <row r="8" spans="2:4">
      <c r="B8" s="16"/>
      <c r="C8" s="15"/>
      <c r="D8" s="15"/>
    </row>
    <row r="9" spans="2:4">
      <c r="B9" s="16"/>
      <c r="C9" s="15"/>
      <c r="D9" s="15"/>
    </row>
    <row r="10" spans="2:4">
      <c r="B10" s="16"/>
      <c r="C10" s="15"/>
      <c r="D10" s="15"/>
    </row>
    <row r="11" spans="2:4">
      <c r="B11" s="16"/>
      <c r="C11" s="15"/>
      <c r="D11" s="15"/>
    </row>
    <row r="12" spans="2:4">
      <c r="B12" s="16"/>
      <c r="C12" s="15"/>
      <c r="D12" s="15"/>
    </row>
    <row r="13" spans="2:4">
      <c r="B13" s="16"/>
      <c r="C13" s="15"/>
      <c r="D13" s="15"/>
    </row>
    <row r="14" spans="2:4">
      <c r="B14" s="16"/>
      <c r="C14" s="15"/>
      <c r="D14" s="15"/>
    </row>
    <row r="15" spans="2:4">
      <c r="B15" s="16"/>
      <c r="C15" s="15"/>
      <c r="D15" s="15"/>
    </row>
    <row r="16" spans="2:4">
      <c r="B16" s="16"/>
      <c r="C16" s="15"/>
      <c r="D16" s="15"/>
    </row>
    <row r="17" spans="2:4">
      <c r="B17" s="16"/>
      <c r="C17" s="15"/>
      <c r="D17" s="15"/>
    </row>
    <row r="18" spans="2:4">
      <c r="B18" s="16"/>
      <c r="C18" s="15"/>
      <c r="D18" s="15"/>
    </row>
    <row r="19" spans="2:4">
      <c r="B19" s="16"/>
      <c r="C19" s="15"/>
      <c r="D19" s="15"/>
    </row>
    <row r="20" spans="2:4">
      <c r="B20" s="16"/>
      <c r="C20" s="15"/>
      <c r="D20" s="15"/>
    </row>
    <row r="21" spans="2:4">
      <c r="B21" s="16"/>
      <c r="C21" s="15"/>
      <c r="D21" s="15"/>
    </row>
    <row r="22" spans="2:4">
      <c r="B22" s="16"/>
      <c r="C22" s="15"/>
      <c r="D22" s="15"/>
    </row>
    <row r="23" spans="2:4">
      <c r="B23" s="16"/>
      <c r="C23" s="15"/>
      <c r="D23" s="15"/>
    </row>
    <row r="24" spans="2:4">
      <c r="B24" s="16"/>
      <c r="C24" s="15"/>
      <c r="D24" s="15"/>
    </row>
    <row r="25" spans="2:4">
      <c r="B25" s="16"/>
      <c r="C25" s="15"/>
      <c r="D25" s="1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L9" sqref="L9"/>
    </sheetView>
  </sheetViews>
  <sheetFormatPr defaultColWidth="9" defaultRowHeight="13.5"/>
  <cols>
    <col min="1" max="16384" width="9" style="1"/>
  </cols>
  <sheetData>
    <row r="1" s="5" customFormat="1" ht="30" customHeight="1" spans="1:1">
      <c r="A1" s="5" t="s">
        <v>7</v>
      </c>
    </row>
    <row r="3" s="1" customFormat="1" ht="22.5" spans="2:7">
      <c r="B3" s="8" t="s">
        <v>8</v>
      </c>
      <c r="C3" s="8"/>
      <c r="D3" s="8"/>
      <c r="E3" s="8"/>
      <c r="F3" s="8"/>
      <c r="G3" s="8"/>
    </row>
    <row r="5" s="1" customFormat="1" spans="2:2">
      <c r="B5" s="1" t="s">
        <v>9</v>
      </c>
    </row>
    <row r="7" s="1" customFormat="1" ht="22.5" spans="2:7">
      <c r="B7" s="8" t="s">
        <v>10</v>
      </c>
      <c r="C7" s="8"/>
      <c r="D7" s="8"/>
      <c r="E7" s="8"/>
      <c r="F7" s="8"/>
      <c r="G7" s="8"/>
    </row>
    <row r="9" s="1" customFormat="1" spans="2:2">
      <c r="B9" s="1" t="s">
        <v>11</v>
      </c>
    </row>
    <row r="10" s="1" customFormat="1" spans="2:2">
      <c r="B10" s="1" t="s">
        <v>12</v>
      </c>
    </row>
    <row r="12" s="1" customFormat="1" ht="22.5" spans="2:7">
      <c r="B12" s="8" t="s">
        <v>13</v>
      </c>
      <c r="C12" s="8"/>
      <c r="D12" s="8"/>
      <c r="E12" s="8"/>
      <c r="F12" s="8"/>
      <c r="G12" s="8"/>
    </row>
    <row r="14" s="1" customFormat="1" spans="2:2">
      <c r="B14" s="1" t="s">
        <v>14</v>
      </c>
    </row>
    <row r="15" s="1" customFormat="1" spans="2:2">
      <c r="B15" s="1" t="s">
        <v>15</v>
      </c>
    </row>
  </sheetData>
  <mergeCells count="4">
    <mergeCell ref="A1:XFD1"/>
    <mergeCell ref="B3:G3"/>
    <mergeCell ref="B7:G7"/>
    <mergeCell ref="B12:G1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6"/>
  <sheetViews>
    <sheetView workbookViewId="0">
      <selection activeCell="O16" sqref="O16"/>
    </sheetView>
  </sheetViews>
  <sheetFormatPr defaultColWidth="9" defaultRowHeight="13.5"/>
  <cols>
    <col min="1" max="16384" width="9" style="1"/>
  </cols>
  <sheetData>
    <row r="1" s="5" customFormat="1" ht="30" customHeight="1" spans="1:1">
      <c r="A1" s="5" t="s">
        <v>16</v>
      </c>
    </row>
    <row r="4" s="1" customFormat="1" ht="22.5" spans="2:7">
      <c r="B4" s="8" t="s">
        <v>17</v>
      </c>
      <c r="C4" s="8"/>
      <c r="D4" s="8"/>
      <c r="E4" s="8"/>
      <c r="F4" s="8"/>
      <c r="G4" s="8"/>
    </row>
    <row r="5" s="1" customFormat="1" ht="22.5" customHeight="1" spans="2:13">
      <c r="B5" s="4" t="str">
        <f>_xlfn.DISPIMG("ID_5142F8A849EC42CDB34EF9E462A363A9",1)</f>
        <v>=DISPIMG("ID_5142F8A849EC42CDB34EF9E462A363A9",1)</v>
      </c>
      <c r="C5" s="4"/>
      <c r="D5" s="4"/>
      <c r="E5" s="4"/>
      <c r="F5" s="4"/>
      <c r="G5" s="4"/>
      <c r="H5" s="4"/>
      <c r="I5" s="4"/>
      <c r="J5" s="4"/>
      <c r="K5" s="4"/>
      <c r="M5" s="1" t="s">
        <v>18</v>
      </c>
    </row>
    <row r="6" s="1" customFormat="1" ht="22.5" customHeight="1" spans="2:14">
      <c r="B6" s="4"/>
      <c r="C6" s="4"/>
      <c r="D6" s="4"/>
      <c r="E6" s="4"/>
      <c r="F6" s="4"/>
      <c r="G6" s="4"/>
      <c r="H6" s="4"/>
      <c r="I6" s="4"/>
      <c r="J6" s="4"/>
      <c r="K6" s="4"/>
      <c r="N6" s="1" t="s">
        <v>19</v>
      </c>
    </row>
    <row r="7" s="1" customFormat="1" ht="22.5" customHeight="1" spans="2:14">
      <c r="B7" s="4"/>
      <c r="C7" s="4"/>
      <c r="D7" s="4"/>
      <c r="E7" s="4"/>
      <c r="F7" s="4"/>
      <c r="G7" s="4"/>
      <c r="H7" s="4"/>
      <c r="I7" s="4"/>
      <c r="J7" s="4"/>
      <c r="K7" s="4"/>
      <c r="N7" s="1" t="s">
        <v>20</v>
      </c>
    </row>
    <row r="8" s="1" customFormat="1" ht="22.5" customHeight="1" spans="2:13">
      <c r="B8" s="4"/>
      <c r="C8" s="4"/>
      <c r="D8" s="4"/>
      <c r="E8" s="4"/>
      <c r="F8" s="4"/>
      <c r="G8" s="4"/>
      <c r="H8" s="4"/>
      <c r="I8" s="4"/>
      <c r="J8" s="4"/>
      <c r="K8" s="4"/>
      <c r="M8" s="1" t="s">
        <v>21</v>
      </c>
    </row>
    <row r="9" s="1" customFormat="1" ht="22.5" customHeight="1" spans="2:13">
      <c r="B9" s="4"/>
      <c r="C9" s="4"/>
      <c r="D9" s="4"/>
      <c r="E9" s="4"/>
      <c r="F9" s="4"/>
      <c r="G9" s="4"/>
      <c r="H9" s="4"/>
      <c r="I9" s="4"/>
      <c r="J9" s="4"/>
      <c r="K9" s="4"/>
      <c r="M9" s="1" t="s">
        <v>22</v>
      </c>
    </row>
    <row r="10" s="1" customFormat="1" ht="22.5" customHeight="1" spans="2:13">
      <c r="B10" s="4"/>
      <c r="C10" s="4"/>
      <c r="D10" s="4"/>
      <c r="E10" s="4"/>
      <c r="F10" s="4"/>
      <c r="G10" s="4"/>
      <c r="H10" s="4"/>
      <c r="I10" s="4"/>
      <c r="J10" s="4"/>
      <c r="K10" s="4"/>
      <c r="M10" s="1" t="s">
        <v>23</v>
      </c>
    </row>
    <row r="11" s="1" customFormat="1" ht="22.5" customHeight="1" spans="2:13">
      <c r="B11" s="4"/>
      <c r="C11" s="4"/>
      <c r="D11" s="4"/>
      <c r="E11" s="4"/>
      <c r="F11" s="4"/>
      <c r="G11" s="4"/>
      <c r="H11" s="4"/>
      <c r="I11" s="4"/>
      <c r="J11" s="4"/>
      <c r="K11" s="4"/>
      <c r="M11" s="1" t="s">
        <v>24</v>
      </c>
    </row>
    <row r="12" s="1" customFormat="1" ht="22.5" customHeight="1" spans="2:11"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="1" customFormat="1" ht="22.5" customHeight="1" spans="2:11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="1" customFormat="1" ht="22.5" customHeight="1" spans="2:11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="1" customFormat="1" ht="22.5" customHeight="1" spans="2:11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="1" customFormat="1" ht="22.5" customHeight="1" spans="2:11"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="1" customFormat="1" ht="22.5" customHeight="1" spans="2:11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="1" customFormat="1" ht="22.5" customHeight="1" spans="2:11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="1" customFormat="1" ht="22.5" customHeight="1" spans="2:11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="1" customFormat="1" ht="22.5" customHeight="1" spans="2:11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="1" customFormat="1" ht="22.5" customHeight="1" spans="2:11"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="1" customFormat="1" ht="22.5" customHeight="1"/>
    <row r="23" s="1" customFormat="1" ht="22.5" customHeight="1"/>
    <row r="24" s="1" customFormat="1" ht="22.5" customHeight="1"/>
    <row r="25" s="1" customFormat="1" ht="22.5" customHeight="1"/>
    <row r="26" s="1" customFormat="1" ht="22.5" customHeight="1"/>
    <row r="27" s="1" customFormat="1" ht="22.5" customHeight="1"/>
    <row r="28" s="1" customFormat="1" ht="22.5" customHeight="1"/>
    <row r="29" s="1" customFormat="1" ht="22.5" customHeight="1"/>
    <row r="30" s="1" customFormat="1" ht="22.5" customHeight="1"/>
    <row r="31" s="1" customFormat="1" ht="22.5" customHeight="1"/>
    <row r="32" s="1" customFormat="1" ht="22.5" customHeight="1"/>
    <row r="33" s="1" customFormat="1" ht="22.5" customHeight="1"/>
    <row r="34" s="1" customFormat="1" ht="22.5" customHeight="1"/>
    <row r="35" s="1" customFormat="1" ht="22.5" customHeight="1"/>
    <row r="36" s="1" customFormat="1" ht="22.5" customHeight="1"/>
    <row r="37" s="1" customFormat="1" ht="22.5" customHeight="1"/>
    <row r="38" s="1" customFormat="1" ht="22.5" customHeight="1"/>
    <row r="39" s="1" customFormat="1" ht="22.5" customHeight="1"/>
    <row r="40" s="1" customFormat="1" ht="22.5" customHeight="1"/>
    <row r="41" s="1" customFormat="1" ht="22.5" customHeight="1"/>
    <row r="42" s="1" customFormat="1" ht="22.5" customHeight="1"/>
    <row r="43" s="1" customFormat="1" ht="22.5" customHeight="1"/>
    <row r="44" s="1" customFormat="1" ht="22.5" customHeight="1"/>
    <row r="45" s="1" customFormat="1" ht="22.5" customHeight="1"/>
    <row r="46" s="1" customFormat="1" ht="22.5" customHeight="1"/>
  </sheetData>
  <mergeCells count="3">
    <mergeCell ref="A1:XFD1"/>
    <mergeCell ref="B4:G4"/>
    <mergeCell ref="B5:K2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72"/>
  <sheetViews>
    <sheetView tabSelected="1" zoomScale="85" zoomScaleNormal="85" topLeftCell="A143" workbookViewId="0">
      <selection activeCell="G148" sqref="G148"/>
    </sheetView>
  </sheetViews>
  <sheetFormatPr defaultColWidth="9" defaultRowHeight="16.5"/>
  <cols>
    <col min="1" max="17" width="9" style="1"/>
    <col min="18" max="18" width="4.25833333333333" style="6" customWidth="1"/>
    <col min="19" max="19" width="9" style="1"/>
    <col min="20" max="28" width="9" style="7"/>
    <col min="29" max="16384" width="9" style="1"/>
  </cols>
  <sheetData>
    <row r="1" s="5" customFormat="1" ht="30" customHeight="1" spans="1:1">
      <c r="A1" s="5" t="s">
        <v>25</v>
      </c>
    </row>
    <row r="3" ht="22.5" customHeight="1" spans="2:20">
      <c r="B3" s="8" t="s">
        <v>26</v>
      </c>
      <c r="C3" s="8"/>
      <c r="D3" s="8"/>
      <c r="E3" s="8"/>
      <c r="F3" s="8"/>
      <c r="G3" s="8"/>
      <c r="T3" s="9"/>
    </row>
    <row r="4" ht="22.5" customHeight="1" spans="1:20">
      <c r="A4" s="4" t="str">
        <f>_xlfn.DISPIMG("ID_A9804FCAE9AE4ADDB35F0AF881C2C0A4",1)</f>
        <v>=DISPIMG("ID_A9804FCAE9AE4ADDB35F0AF881C2C0A4",1)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T4" s="7" t="s">
        <v>27</v>
      </c>
    </row>
    <row r="5" ht="22.5" customHeight="1" spans="1:1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22.5" customHeight="1" spans="1:2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T6" s="7" t="s">
        <v>28</v>
      </c>
    </row>
    <row r="7" ht="22.5" customHeight="1" spans="1:1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ht="22.5" customHeight="1" spans="1:2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T8" s="7" t="s">
        <v>29</v>
      </c>
    </row>
    <row r="9" ht="22.5" customHeight="1" spans="1:2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U9" s="7" t="s">
        <v>30</v>
      </c>
    </row>
    <row r="10" ht="22.5" customHeight="1" spans="1:2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U10" s="7" t="s">
        <v>31</v>
      </c>
    </row>
    <row r="11" ht="22.5" customHeight="1" spans="1:2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U11" s="7" t="s">
        <v>32</v>
      </c>
    </row>
    <row r="12" ht="22.5" customHeight="1" spans="1:2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U12" s="7" t="s">
        <v>33</v>
      </c>
    </row>
    <row r="13" ht="22.5" customHeight="1" spans="1:1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ht="22.5" customHeight="1" spans="1:20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T14" s="7" t="s">
        <v>34</v>
      </c>
    </row>
    <row r="15" ht="22.5" customHeight="1" spans="1:2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U15" s="7" t="s">
        <v>35</v>
      </c>
    </row>
    <row r="16" ht="22.5" customHeight="1" spans="1:2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V16" s="7" t="s">
        <v>36</v>
      </c>
    </row>
    <row r="17" ht="22.5" customHeight="1" spans="1:2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V17" s="7" t="s">
        <v>37</v>
      </c>
    </row>
    <row r="18" ht="22.5" customHeight="1" spans="1:1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ht="22.5" customHeight="1" spans="1:20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T19" s="7" t="s">
        <v>38</v>
      </c>
    </row>
    <row r="20" ht="22.5" customHeight="1" spans="1:2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U20" s="7" t="s">
        <v>39</v>
      </c>
    </row>
    <row r="21" ht="22.5" customHeight="1" spans="1:1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ht="22.5" customHeight="1" spans="1:20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T22" s="7" t="s">
        <v>40</v>
      </c>
    </row>
    <row r="23" ht="22.5" customHeight="1" spans="1:2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U23" s="7" t="s">
        <v>41</v>
      </c>
    </row>
    <row r="24" ht="22.5" customHeight="1" spans="1:1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ht="22.5" customHeight="1" spans="1:20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T25" s="7" t="s">
        <v>42</v>
      </c>
    </row>
    <row r="26" ht="22.5" customHeight="1" spans="1:1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ht="22.5" customHeight="1" spans="2:20">
      <c r="B27" s="8" t="s">
        <v>43</v>
      </c>
      <c r="C27" s="8"/>
      <c r="D27" s="8"/>
      <c r="E27" s="8"/>
      <c r="F27" s="8"/>
      <c r="G27" s="8"/>
      <c r="T27" s="9"/>
    </row>
    <row r="28" ht="22.5" customHeight="1" spans="1:20">
      <c r="A28" s="4" t="str">
        <f>_xlfn.DISPIMG("ID_6FB2D25F816844859E746F0F230079E5",1)</f>
        <v>=DISPIMG("ID_6FB2D25F816844859E746F0F230079E5",1)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T28" s="7" t="s">
        <v>44</v>
      </c>
    </row>
    <row r="29" ht="22.5" customHeight="1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ht="22.5" customHeight="1" spans="1:2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T30" s="7" t="s">
        <v>45</v>
      </c>
    </row>
    <row r="31" ht="22.5" customHeight="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ht="22.5" customHeight="1" spans="1:20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T32" s="7" t="s">
        <v>46</v>
      </c>
    </row>
    <row r="33" ht="22.5" customHeight="1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ht="22.5" customHeight="1" spans="1:20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T34" s="7" t="s">
        <v>47</v>
      </c>
    </row>
    <row r="35" ht="22.5" customHeight="1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ht="22.5" customHeight="1" spans="1:20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T36" s="7" t="s">
        <v>48</v>
      </c>
    </row>
    <row r="37" ht="22.5" customHeight="1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ht="22.5" customHeight="1" spans="1:20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T38" s="7" t="s">
        <v>49</v>
      </c>
    </row>
    <row r="39" ht="22.5" customHeight="1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ht="22.5" customHeight="1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ht="22.5" customHeight="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ht="22.5" customHeight="1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ht="22.5" customHeight="1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ht="22.5" customHeight="1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ht="22.5" customHeight="1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ht="22.5" customHeight="1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ht="22.5" customHeight="1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ht="22.5" customHeight="1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ht="22.5" customHeight="1" spans="2:20">
      <c r="B49" s="8" t="s">
        <v>50</v>
      </c>
      <c r="C49" s="8"/>
      <c r="D49" s="8"/>
      <c r="E49" s="8"/>
      <c r="F49" s="8"/>
      <c r="G49" s="8"/>
      <c r="T49" s="9"/>
    </row>
    <row r="50" ht="22.5" customHeight="1" spans="1:20">
      <c r="A50" s="4" t="str">
        <f>_xlfn.DISPIMG("ID_D9D817A235F843658D5CEA47876EB05F",1)</f>
        <v>=DISPIMG("ID_D9D817A235F843658D5CEA47876EB05F",1)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T50" s="7" t="s">
        <v>51</v>
      </c>
    </row>
    <row r="51" ht="22.5" customHeight="1" spans="1:1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ht="22.5" customHeight="1" spans="1:20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T52" s="7" t="s">
        <v>52</v>
      </c>
    </row>
    <row r="53" ht="22.5" customHeight="1" spans="1:1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ht="22.5" customHeight="1" spans="1:20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T54" s="7" t="s">
        <v>53</v>
      </c>
    </row>
    <row r="55" ht="22.5" customHeight="1" spans="1:1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ht="22.5" customHeight="1" spans="1:20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T56" s="7" t="s">
        <v>54</v>
      </c>
    </row>
    <row r="57" ht="22.5" customHeight="1" spans="1:1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ht="22.5" customHeight="1" spans="1:2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T58" s="7" t="s">
        <v>55</v>
      </c>
    </row>
    <row r="59" ht="22.5" customHeight="1" spans="1:1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ht="22.5" customHeight="1" spans="1:1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ht="22.5" customHeight="1" spans="1:1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ht="22.5" customHeight="1" spans="1:1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22.5" customHeight="1" spans="1:1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22.5" customHeight="1" spans="1:1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22.5" customHeight="1" spans="1:1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22.5" customHeight="1" spans="1:1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22.5" customHeight="1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22.5" customHeight="1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22.5" customHeight="1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22.5" customHeight="1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22.5" customHeight="1" spans="2:20">
      <c r="B71" s="8" t="s">
        <v>56</v>
      </c>
      <c r="C71" s="8"/>
      <c r="D71" s="8"/>
      <c r="E71" s="8"/>
      <c r="F71" s="8"/>
      <c r="G71" s="8"/>
      <c r="T71" s="9"/>
    </row>
    <row r="72" ht="22.5" customHeight="1" spans="1:20">
      <c r="A72" s="4" t="str">
        <f>_xlfn.DISPIMG("ID_8B520412E0AE4AAFAB4F8E3411D47DE8",1)</f>
        <v>=DISPIMG("ID_8B520412E0AE4AAFAB4F8E3411D47DE8",1)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P72" s="1" t="s">
        <v>57</v>
      </c>
      <c r="T72" s="7" t="s">
        <v>58</v>
      </c>
    </row>
    <row r="73" ht="22.5" customHeight="1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22.5" customHeight="1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T74" s="7" t="s">
        <v>59</v>
      </c>
    </row>
    <row r="75" ht="22.5" customHeight="1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22.5" customHeight="1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T76" s="7" t="s">
        <v>60</v>
      </c>
    </row>
    <row r="77" ht="22.5" customHeight="1" spans="1:1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22.5" customHeight="1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T78" s="7" t="s">
        <v>61</v>
      </c>
    </row>
    <row r="79" ht="22.5" customHeight="1" spans="1:2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U79" s="7" t="s">
        <v>62</v>
      </c>
    </row>
    <row r="80" ht="22.5" customHeight="1" spans="1:1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22.5" customHeight="1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T81" s="7" t="s">
        <v>63</v>
      </c>
    </row>
    <row r="82" ht="22.5" customHeight="1" spans="1:1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22.5" customHeight="1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T83" s="7" t="s">
        <v>64</v>
      </c>
    </row>
    <row r="84" ht="22.5" customHeight="1" spans="1:1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22.5" customHeight="1" spans="1:1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22.5" customHeight="1" spans="1:1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22.5" customHeight="1" spans="1:1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22.5" customHeight="1" spans="1:1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22.5" customHeight="1" spans="1:1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22.5" customHeight="1" spans="1:1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22.5" customHeight="1" spans="1:1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22.5" customHeight="1" spans="2:20">
      <c r="B92" s="8" t="s">
        <v>65</v>
      </c>
      <c r="C92" s="8"/>
      <c r="D92" s="8"/>
      <c r="E92" s="8"/>
      <c r="F92" s="8"/>
      <c r="G92" s="8"/>
      <c r="T92" s="9"/>
    </row>
    <row r="93" ht="22.5" customHeight="1" spans="1:20">
      <c r="A93" s="4" t="str">
        <f>_xlfn.DISPIMG("ID_553C8F8AFC3447BA826E529AF5DD8199",1)</f>
        <v>=DISPIMG("ID_553C8F8AFC3447BA826E529AF5DD8199",1)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T93" s="7" t="s">
        <v>66</v>
      </c>
    </row>
    <row r="94" ht="22.5" customHeight="1" spans="1:1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22.5" customHeight="1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T95" s="7" t="s">
        <v>67</v>
      </c>
    </row>
    <row r="96" ht="22.5" customHeight="1" spans="1:1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22.5" customHeight="1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T97" s="7" t="s">
        <v>68</v>
      </c>
    </row>
    <row r="98" ht="22.5" customHeight="1" spans="1:2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U98" s="7" t="s">
        <v>69</v>
      </c>
    </row>
    <row r="99" ht="22.5" customHeight="1" spans="1:1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22.5" customHeight="1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T100" s="7" t="s">
        <v>70</v>
      </c>
    </row>
    <row r="101" ht="22.5" customHeight="1" spans="1:1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22.5" customHeight="1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T102" s="7" t="s">
        <v>55</v>
      </c>
    </row>
    <row r="103" ht="22.5" customHeight="1" spans="1:1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22.5" customHeight="1" spans="1:1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22.5" customHeight="1" spans="1:1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22.5" customHeight="1" spans="1:1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22.5" customHeight="1" spans="1:1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22.5" customHeight="1" spans="1:1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22.5" customHeight="1" spans="1:1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22.5" customHeight="1" spans="1:1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22.5" customHeight="1" spans="1:1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22.5" customHeight="1" spans="1:1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22.5" customHeight="1" spans="2:20">
      <c r="B113" s="8" t="s">
        <v>71</v>
      </c>
      <c r="C113" s="8"/>
      <c r="D113" s="8"/>
      <c r="E113" s="8"/>
      <c r="F113" s="8"/>
      <c r="G113" s="8"/>
      <c r="T113" s="9"/>
    </row>
    <row r="114" ht="22.5" customHeight="1" spans="1:20">
      <c r="A114" s="4" t="str">
        <f>_xlfn.DISPIMG("ID_00BBF077ED8F4C2DB6C48496004A29D0",1)</f>
        <v>=DISPIMG("ID_00BBF077ED8F4C2DB6C48496004A29D0",1)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T114" s="7" t="s">
        <v>72</v>
      </c>
    </row>
    <row r="115" ht="22.5" customHeight="1" spans="1:1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22.5" customHeight="1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T116" s="7" t="s">
        <v>73</v>
      </c>
    </row>
    <row r="117" ht="22.5" customHeight="1" spans="1:1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22.5" customHeight="1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T118" s="7" t="s">
        <v>74</v>
      </c>
    </row>
    <row r="119" ht="22.5" customHeight="1" spans="1:2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U119" s="7" t="s">
        <v>75</v>
      </c>
    </row>
    <row r="120" ht="22.5" customHeight="1" spans="1:2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U120" s="7" t="s">
        <v>76</v>
      </c>
    </row>
    <row r="121" ht="22.5" customHeight="1" spans="1:1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22.5" customHeight="1" spans="1:1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22.5" customHeight="1" spans="1:1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22.5" customHeight="1" spans="1:1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22.5" customHeight="1" spans="1:1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22.5" customHeight="1" spans="1:1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22.5" customHeight="1" spans="1:1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22.5" customHeight="1" spans="1:1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22.5" customHeight="1" spans="1:1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22.5" customHeight="1" spans="1:1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22.5" customHeight="1" spans="1:1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22.5" customHeight="1" spans="1:1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22.5" customHeight="1" spans="1:1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22.5" customHeight="1" spans="1:1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22.5" customHeight="1" spans="2:20">
      <c r="B135" s="8" t="s">
        <v>77</v>
      </c>
      <c r="C135" s="8"/>
      <c r="D135" s="8"/>
      <c r="E135" s="8"/>
      <c r="F135" s="8"/>
      <c r="G135" s="8"/>
      <c r="T135" s="9"/>
    </row>
    <row r="136" ht="22.5" customHeight="1" spans="1:20">
      <c r="A136" s="4" t="str">
        <f>_xlfn.DISPIMG("ID_85AACC47C74E4A3DA54EA68ECCBEB41D",1)</f>
        <v>=DISPIMG("ID_85AACC47C74E4A3DA54EA68ECCBEB41D",1)</v>
      </c>
      <c r="B136" s="4"/>
      <c r="C136" s="4"/>
      <c r="D136" s="4"/>
      <c r="E136" s="4"/>
      <c r="F136" s="4"/>
      <c r="G136" s="4"/>
      <c r="H136" s="4"/>
      <c r="I136" s="4"/>
      <c r="J136" s="4"/>
      <c r="T136" s="7" t="s">
        <v>78</v>
      </c>
    </row>
    <row r="137" ht="22.5" customHeight="1" spans="1:10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ht="22.5" customHeight="1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T138" s="7" t="s">
        <v>79</v>
      </c>
    </row>
    <row r="139" ht="22.5" customHeight="1" spans="1:10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ht="22.5" customHeight="1" spans="1:1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ht="22.5" customHeight="1" spans="1:10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ht="22.5" customHeight="1" spans="1:10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ht="22.5" customHeight="1" spans="1:10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ht="22.5" customHeight="1" spans="1:10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ht="22.5" customHeight="1" spans="1:10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ht="22.5" customHeight="1" spans="1:10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ht="22.5" customHeight="1"/>
    <row r="148" s="1" customFormat="1" spans="18:28">
      <c r="R148" s="6"/>
      <c r="T148" s="7"/>
      <c r="U148" s="7"/>
      <c r="V148" s="7"/>
      <c r="W148" s="7"/>
      <c r="X148" s="7"/>
      <c r="Y148" s="7"/>
      <c r="Z148" s="7"/>
      <c r="AA148" s="7"/>
      <c r="AB148" s="7"/>
    </row>
    <row r="149" s="1" customFormat="1" ht="22.5" customHeight="1" spans="2:28">
      <c r="B149" s="8" t="s">
        <v>80</v>
      </c>
      <c r="C149" s="8"/>
      <c r="D149" s="8"/>
      <c r="E149" s="8"/>
      <c r="F149" s="8"/>
      <c r="G149" s="8"/>
      <c r="R149" s="6"/>
      <c r="T149" s="9"/>
      <c r="U149" s="7"/>
      <c r="V149" s="7"/>
      <c r="W149" s="7"/>
      <c r="X149" s="7"/>
      <c r="Y149" s="7"/>
      <c r="Z149" s="7"/>
      <c r="AA149" s="7"/>
      <c r="AB149" s="7"/>
    </row>
    <row r="150" s="1" customFormat="1" ht="22.5" customHeight="1" spans="1:28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R150" s="6"/>
      <c r="T150" s="7" t="s">
        <v>27</v>
      </c>
      <c r="U150" s="7"/>
      <c r="V150" s="7"/>
      <c r="W150" s="7"/>
      <c r="X150" s="7"/>
      <c r="Y150" s="7"/>
      <c r="Z150" s="7"/>
      <c r="AA150" s="7"/>
      <c r="AB150" s="7"/>
    </row>
    <row r="151" s="1" customFormat="1" ht="22.5" customHeight="1" spans="1:28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R151" s="6"/>
      <c r="T151" s="7"/>
      <c r="U151" s="7"/>
      <c r="V151" s="7"/>
      <c r="W151" s="7"/>
      <c r="X151" s="7"/>
      <c r="Y151" s="7"/>
      <c r="Z151" s="7"/>
      <c r="AA151" s="7"/>
      <c r="AB151" s="7"/>
    </row>
    <row r="152" s="1" customFormat="1" ht="22.5" customHeight="1" spans="1:28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R152" s="6"/>
      <c r="T152" s="7" t="s">
        <v>28</v>
      </c>
      <c r="U152" s="7"/>
      <c r="V152" s="7"/>
      <c r="W152" s="7"/>
      <c r="X152" s="7"/>
      <c r="Y152" s="7"/>
      <c r="Z152" s="7"/>
      <c r="AA152" s="7"/>
      <c r="AB152" s="7"/>
    </row>
    <row r="153" s="1" customFormat="1" ht="22.5" customHeight="1" spans="1:28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R153" s="6"/>
      <c r="T153" s="7"/>
      <c r="U153" s="7"/>
      <c r="V153" s="7"/>
      <c r="W153" s="7"/>
      <c r="X153" s="7"/>
      <c r="Y153" s="7"/>
      <c r="Z153" s="7"/>
      <c r="AA153" s="7"/>
      <c r="AB153" s="7"/>
    </row>
    <row r="154" s="1" customFormat="1" ht="22.5" customHeight="1" spans="1:28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R154" s="6"/>
      <c r="T154" s="7" t="s">
        <v>81</v>
      </c>
      <c r="U154" s="7"/>
      <c r="V154" s="7"/>
      <c r="W154" s="7"/>
      <c r="X154" s="7"/>
      <c r="Y154" s="7"/>
      <c r="Z154" s="7"/>
      <c r="AA154" s="7"/>
      <c r="AB154" s="7"/>
    </row>
    <row r="155" s="1" customFormat="1" ht="22.5" customHeight="1" spans="1:28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R155" s="6"/>
      <c r="T155" s="7"/>
      <c r="U155" s="7"/>
      <c r="V155" s="7"/>
      <c r="W155" s="7"/>
      <c r="X155" s="7"/>
      <c r="Y155" s="7"/>
      <c r="Z155" s="7"/>
      <c r="AA155" s="7"/>
      <c r="AB155" s="7"/>
    </row>
    <row r="156" s="1" customFormat="1" ht="22.5" customHeight="1" spans="1:28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R156" s="6"/>
      <c r="T156" s="7" t="s">
        <v>82</v>
      </c>
      <c r="U156" s="7"/>
      <c r="V156" s="7"/>
      <c r="W156" s="7"/>
      <c r="X156" s="7"/>
      <c r="Y156" s="7"/>
      <c r="Z156" s="7"/>
      <c r="AA156" s="7"/>
      <c r="AB156" s="7"/>
    </row>
    <row r="157" s="1" customFormat="1" ht="22.5" customHeight="1" spans="1:28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R157" s="6"/>
      <c r="T157" s="7"/>
      <c r="U157" s="7"/>
      <c r="V157" s="7"/>
      <c r="W157" s="7"/>
      <c r="X157" s="7"/>
      <c r="Y157" s="7"/>
      <c r="Z157" s="7"/>
      <c r="AA157" s="7"/>
      <c r="AB157" s="7"/>
    </row>
    <row r="158" s="1" customFormat="1" ht="22.5" customHeight="1" spans="1:2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R158" s="6"/>
      <c r="T158" s="7" t="s">
        <v>83</v>
      </c>
      <c r="U158" s="7"/>
      <c r="V158" s="7"/>
      <c r="W158" s="7"/>
      <c r="X158" s="7"/>
      <c r="Y158" s="7"/>
      <c r="Z158" s="7"/>
      <c r="AA158" s="7"/>
      <c r="AB158" s="7"/>
    </row>
    <row r="159" s="1" customFormat="1" ht="22.5" customHeight="1" spans="1:28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R159" s="6"/>
      <c r="T159" s="7"/>
      <c r="U159" s="7" t="s">
        <v>84</v>
      </c>
      <c r="V159" s="7"/>
      <c r="W159" s="7"/>
      <c r="X159" s="7"/>
      <c r="Y159" s="7"/>
      <c r="Z159" s="7"/>
      <c r="AA159" s="7"/>
      <c r="AB159" s="7"/>
    </row>
    <row r="160" s="1" customFormat="1" ht="22.5" customHeight="1" spans="1:28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R160" s="6"/>
      <c r="T160" s="7"/>
      <c r="U160" s="7"/>
      <c r="V160" s="7"/>
      <c r="W160" s="7"/>
      <c r="X160" s="7"/>
      <c r="Y160" s="7"/>
      <c r="Z160" s="7"/>
      <c r="AA160" s="7"/>
      <c r="AB160" s="7"/>
    </row>
    <row r="161" s="1" customFormat="1" ht="22.5" customHeight="1" spans="1:28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R161" s="6"/>
      <c r="T161" s="7" t="s">
        <v>85</v>
      </c>
      <c r="U161" s="7"/>
      <c r="V161" s="7"/>
      <c r="W161" s="7"/>
      <c r="X161" s="7"/>
      <c r="Y161" s="7"/>
      <c r="Z161" s="7"/>
      <c r="AA161" s="7"/>
      <c r="AB161" s="7"/>
    </row>
    <row r="162" s="1" customFormat="1" ht="22.5" customHeight="1" spans="1:28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R162" s="6"/>
      <c r="T162" s="7"/>
      <c r="U162" s="7" t="s">
        <v>86</v>
      </c>
      <c r="V162" s="7"/>
      <c r="W162" s="7"/>
      <c r="X162" s="7"/>
      <c r="Y162" s="7"/>
      <c r="Z162" s="7"/>
      <c r="AA162" s="7"/>
      <c r="AB162" s="7"/>
    </row>
    <row r="163" s="1" customFormat="1" ht="22.5" customHeight="1" spans="1:28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R163" s="6"/>
      <c r="T163" s="7"/>
      <c r="U163" s="7"/>
      <c r="V163" s="7"/>
      <c r="W163" s="7"/>
      <c r="X163" s="7"/>
      <c r="Y163" s="7"/>
      <c r="Z163" s="7"/>
      <c r="AA163" s="7"/>
      <c r="AB163" s="7"/>
    </row>
    <row r="164" s="1" customFormat="1" ht="22.5" customHeight="1" spans="1:28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R164" s="6"/>
      <c r="T164" s="7" t="s">
        <v>87</v>
      </c>
      <c r="U164" s="7"/>
      <c r="V164" s="7"/>
      <c r="W164" s="7"/>
      <c r="X164" s="7"/>
      <c r="Y164" s="7"/>
      <c r="Z164" s="7"/>
      <c r="AA164" s="7"/>
      <c r="AB164" s="7"/>
    </row>
    <row r="165" s="1" customFormat="1" ht="22.5" customHeight="1" spans="1:28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R165" s="6"/>
      <c r="T165" s="7"/>
      <c r="U165" s="7" t="s">
        <v>88</v>
      </c>
      <c r="V165" s="7"/>
      <c r="W165" s="7"/>
      <c r="X165" s="7"/>
      <c r="Y165" s="7"/>
      <c r="Z165" s="7"/>
      <c r="AA165" s="7"/>
      <c r="AB165" s="7"/>
    </row>
    <row r="166" s="1" customFormat="1" ht="22.5" customHeight="1" spans="1:28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R166" s="6"/>
      <c r="T166" s="7"/>
      <c r="U166" s="7"/>
      <c r="V166" s="7"/>
      <c r="W166" s="7"/>
      <c r="X166" s="7"/>
      <c r="Y166" s="7"/>
      <c r="Z166" s="7"/>
      <c r="AA166" s="7"/>
      <c r="AB166" s="7"/>
    </row>
    <row r="167" s="1" customFormat="1" ht="22.5" customHeight="1" spans="1:28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R167" s="6"/>
      <c r="T167" s="7" t="s">
        <v>89</v>
      </c>
      <c r="U167" s="7"/>
      <c r="V167" s="7"/>
      <c r="W167" s="7"/>
      <c r="X167" s="7"/>
      <c r="Y167" s="7"/>
      <c r="Z167" s="7"/>
      <c r="AA167" s="7"/>
      <c r="AB167" s="7"/>
    </row>
    <row r="168" s="1" customFormat="1" ht="22.5" customHeight="1" spans="1:2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R168" s="6"/>
      <c r="T168" s="7"/>
      <c r="U168" s="7"/>
      <c r="V168" s="7"/>
      <c r="W168" s="7"/>
      <c r="X168" s="7"/>
      <c r="Y168" s="7"/>
      <c r="Z168" s="7"/>
      <c r="AA168" s="7"/>
      <c r="AB168" s="7"/>
    </row>
    <row r="169" s="1" customFormat="1" ht="22.5" customHeight="1" spans="1:28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R169" s="6"/>
      <c r="T169" s="7"/>
      <c r="U169" s="7"/>
      <c r="V169" s="7"/>
      <c r="W169" s="7"/>
      <c r="X169" s="7"/>
      <c r="Y169" s="7"/>
      <c r="Z169" s="7"/>
      <c r="AA169" s="7"/>
      <c r="AB169" s="7"/>
    </row>
    <row r="170" s="1" customFormat="1" ht="22.5" customHeight="1" spans="1:28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R170" s="6"/>
      <c r="T170" s="7"/>
      <c r="U170" s="7"/>
      <c r="V170" s="7"/>
      <c r="W170" s="7"/>
      <c r="X170" s="7"/>
      <c r="Y170" s="7"/>
      <c r="Z170" s="7"/>
      <c r="AA170" s="7"/>
      <c r="AB170" s="7"/>
    </row>
    <row r="171" s="1" customFormat="1" ht="22.5" customHeight="1" spans="1:28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R171" s="6"/>
      <c r="T171" s="7"/>
      <c r="U171" s="7"/>
      <c r="V171" s="7"/>
      <c r="W171" s="7"/>
      <c r="X171" s="7"/>
      <c r="Y171" s="7"/>
      <c r="Z171" s="7"/>
      <c r="AA171" s="7"/>
      <c r="AB171" s="7"/>
    </row>
    <row r="172" s="1" customFormat="1" ht="22.5" customHeight="1" spans="18:28">
      <c r="R172" s="6"/>
      <c r="T172" s="7"/>
      <c r="U172" s="7"/>
      <c r="V172" s="7"/>
      <c r="W172" s="7"/>
      <c r="X172" s="7"/>
      <c r="Y172" s="7"/>
      <c r="Z172" s="7"/>
      <c r="AA172" s="7"/>
      <c r="AB172" s="7"/>
    </row>
  </sheetData>
  <mergeCells count="17">
    <mergeCell ref="A1:W1"/>
    <mergeCell ref="B3:G3"/>
    <mergeCell ref="B27:G27"/>
    <mergeCell ref="B49:G49"/>
    <mergeCell ref="B71:G71"/>
    <mergeCell ref="B92:G92"/>
    <mergeCell ref="B113:G113"/>
    <mergeCell ref="B135:G135"/>
    <mergeCell ref="B149:G149"/>
    <mergeCell ref="A4:P26"/>
    <mergeCell ref="A28:O48"/>
    <mergeCell ref="A50:N70"/>
    <mergeCell ref="A72:N91"/>
    <mergeCell ref="A93:N112"/>
    <mergeCell ref="A114:N134"/>
    <mergeCell ref="A136:J146"/>
    <mergeCell ref="A150:P17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Q37"/>
  <sheetViews>
    <sheetView workbookViewId="0">
      <selection activeCell="B5" sqref="B5"/>
    </sheetView>
  </sheetViews>
  <sheetFormatPr defaultColWidth="9" defaultRowHeight="13.5"/>
  <cols>
    <col min="1" max="16384" width="9" style="1"/>
  </cols>
  <sheetData>
    <row r="1" customFormat="1" ht="29.25" customHeight="1" spans="1:16371">
      <c r="A1" s="2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</row>
    <row r="4" ht="22.5" spans="2:7">
      <c r="B4" s="3" t="s">
        <v>91</v>
      </c>
      <c r="C4" s="3"/>
      <c r="D4" s="3"/>
      <c r="E4" s="3"/>
      <c r="F4" s="3"/>
      <c r="G4" s="3"/>
    </row>
    <row r="7" spans="1:12">
      <c r="A7" s="4" t="str">
        <f>_xlfn.DISPIMG("ID_18E522A23E064B079CC80FD52784D3FE",1)</f>
        <v>=DISPIMG("ID_18E522A23E064B079CC80FD52784D3FE",1)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</sheetData>
  <mergeCells count="4">
    <mergeCell ref="A1:XEQ1"/>
    <mergeCell ref="B4:G4"/>
    <mergeCell ref="A7:L35"/>
    <mergeCell ref="A36:L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功能设计</vt:lpstr>
      <vt:lpstr>基础规则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2023-05-12T11:15:00Z</dcterms:created>
  <dcterms:modified xsi:type="dcterms:W3CDTF">2025-06-03T07:04:42Z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2052-12.1.0.21171</vt:lpwstr>
  </property>
</Properties>
</file>