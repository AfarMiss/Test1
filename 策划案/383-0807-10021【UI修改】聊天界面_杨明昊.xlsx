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" name="ID_126612C0AA554D98B971EE1F173BA61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463645" y="7448550"/>
          <a:ext cx="3933825" cy="1752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F7CB1AA7C409409DBBEB980CDB84345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416145" y="9565005"/>
          <a:ext cx="4000500" cy="676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BF119D698D534625B3DC93FD9E7B3F0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416145" y="9774555"/>
          <a:ext cx="3943350" cy="657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580BB90375714EAEA6BDD8CFB1E08C1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416145" y="9984105"/>
          <a:ext cx="3981450" cy="609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7409108EE5CC4FBAA7633E98A10F7EE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82150" y="1438275"/>
          <a:ext cx="533400" cy="6096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<sst xmlns="http://schemas.openxmlformats.org/spreadsheetml/2006/main" count="167" uniqueCount="111">
  <si>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</si>
  <si>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</si>
  <si>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</si>
  <si>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</si>
  <si>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</si>
  <si>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</si>
  <si>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</si>
  <si>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杨明昊</t>
  </si>
  <si>
    <t>圣装系统</t>
  </si>
  <si>
    <t>设计目的</t>
  </si>
  <si>
    <t>1、游戏内基础功能。</t>
  </si>
  <si>
    <t>与其他系统的关联性</t>
  </si>
  <si>
    <t>聊天系统</t>
  </si>
  <si>
    <t>功能规则</t>
  </si>
  <si>
    <t>功能入口</t>
  </si>
  <si>
    <t xml:space="preserve">  </t>
  </si>
  <si>
    <t>1.主界面点击【聊天】窗口进入</t>
  </si>
  <si>
    <t xml:space="preserve">       </t>
  </si>
  <si>
    <t>聊天界面</t>
  </si>
  <si>
    <t>1、底框</t>
  </si>
  <si>
    <t>1、点击右侧空白处关闭界面</t>
  </si>
  <si>
    <t>▶</t>
  </si>
  <si>
    <t>展示聊天界面弹出在主界面显示的位置</t>
  </si>
  <si>
    <t>2、如图，“我”的发言在右侧显示，其他人在左侧</t>
  </si>
  <si>
    <t>2、聊天详细界面</t>
  </si>
  <si>
    <t>2、综合频道展示所有频道发言，其余各频道发言相互独立展示</t>
  </si>
  <si>
    <t>包括：玩家头像框，玩家头像、姓名、发言、发言底框</t>
  </si>
  <si>
    <t>说明按钮：点击后打开文本说明弹窗</t>
  </si>
  <si>
    <t>【称号】子页签</t>
  </si>
  <si>
    <t>2、系统通知</t>
  </si>
  <si>
    <t>3、页签</t>
  </si>
  <si>
    <t>如右图</t>
  </si>
  <si>
    <t>综合、世界、行会、组队、附近、系统、私聊</t>
  </si>
  <si>
    <t>玩家名称（黄）、地点（蓝）、boss名称（绿）、装备（橙），字体颜色不同，</t>
  </si>
  <si>
    <t>有选中和未选中状态</t>
  </si>
  <si>
    <t>3、频道发言条件</t>
  </si>
  <si>
    <t>4、背包按钮（已提）</t>
  </si>
  <si>
    <t>世界频道：达到XX等级</t>
  </si>
  <si>
    <t>点击后弹出弹窗（下方有详细界面）</t>
  </si>
  <si>
    <t>行会：需要加入行会</t>
  </si>
  <si>
    <t>5、聊天框和发送按钮</t>
  </si>
  <si>
    <t>组队：需要加入队伍</t>
  </si>
  <si>
    <t>发送按钮有选中和未选中状态</t>
  </si>
  <si>
    <t>附近：需要玩家在附近才能收到，具体距离待定</t>
  </si>
  <si>
    <t>3、不满足条件时，不可发言，有相关提示</t>
  </si>
  <si>
    <t>世界频道：“等级不足”</t>
  </si>
  <si>
    <t>行会：如右图</t>
  </si>
  <si>
    <t>组队：如右图图</t>
  </si>
  <si>
    <t>系统：如右图</t>
  </si>
  <si>
    <t>4、背包按钮，弹出的弹窗</t>
  </si>
  <si>
    <t>点击输入框左侧的背包按钮，弹出弹窗</t>
  </si>
  <si>
    <t>弹窗界面下面有</t>
  </si>
  <si>
    <t>5、输入框点击输入文字，有敏感词提示</t>
  </si>
  <si>
    <t>5、发送按钮</t>
  </si>
  <si>
    <t>点击发送按钮，发送输入框中的内容</t>
  </si>
  <si>
    <t>无选框标示界面</t>
  </si>
  <si>
    <t>若聊天框中无内容，则提示“请输入内容”</t>
  </si>
  <si>
    <t>0、弹窗</t>
  </si>
  <si>
    <t>0、点击空白处关闭弹窗</t>
  </si>
  <si>
    <t>展示弹窗位置</t>
  </si>
  <si>
    <t>1、页签</t>
  </si>
  <si>
    <t>【背包】和【装备】，点击页签切换</t>
  </si>
  <si>
    <t>背包：背包内的所有物品；装备：角色装备和圣装</t>
  </si>
  <si>
    <t>【背包】和【装备】</t>
  </si>
  <si>
    <t>2、道具框</t>
  </si>
  <si>
    <t>可上下滑动</t>
  </si>
  <si>
    <t>横向格子数为4，总格子数为120</t>
  </si>
  <si>
    <t>1、玩家信息栏</t>
  </si>
  <si>
    <t>包括：玩家头像框，玩家头像、姓名、在线状态</t>
  </si>
  <si>
    <t>1、</t>
  </si>
  <si>
    <t>列表按钮</t>
  </si>
  <si>
    <t>2、弹窗框</t>
  </si>
  <si>
    <t>点击则弹出“已经私聊过的玩家”的选择窗口。</t>
  </si>
  <si>
    <t>一个弹窗底框</t>
  </si>
  <si>
    <r>
      <t>若是未曾私聊过的好友，需要在好友界面点击”私聊“，跳转至</t>
    </r>
    <r>
      <rPr>
        <b/>
        <sz val="11"/>
        <color theme="1"/>
        <rFont val="微软雅黑"/>
        <charset val="134"/>
      </rPr>
      <t>私聊频道</t>
    </r>
    <r>
      <rPr>
        <sz val="11"/>
        <color theme="1"/>
        <rFont val="微软雅黑"/>
        <charset val="134"/>
      </rPr>
      <t>聊天之后，才会出现在列表中。</t>
    </r>
  </si>
  <si>
    <t>3、按钮</t>
  </si>
  <si>
    <t>2、</t>
  </si>
  <si>
    <t>私聊玩家</t>
  </si>
  <si>
    <t>增加一个“列表”按钮</t>
  </si>
  <si>
    <r>
      <t>点击则切换至</t>
    </r>
    <r>
      <rPr>
        <b/>
        <sz val="11"/>
        <color theme="1"/>
        <rFont val="微软雅黑"/>
        <charset val="134"/>
      </rPr>
      <t>聊天频道</t>
    </r>
    <r>
      <rPr>
        <sz val="11"/>
        <color theme="1"/>
        <rFont val="微软雅黑"/>
        <charset val="134"/>
      </rPr>
      <t>，是对应玩家的私聊窗口。</t>
    </r>
  </si>
  <si>
    <t>私聊列表内的可选择角色仅保留本次登录内聊天过的玩家。</t>
  </si>
  <si>
    <t>私聊窗口若数量过多将以滑动展示。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</si>
  <si>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</si>
  <si>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</si>
  <si>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</si>
  <si>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</si>
  <si>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</si>
  <si>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</si>
  <si>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</si>
  <si>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</si>
  <si>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</si>
  <si>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</si>
  <si>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</si>
  <si>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</si>
  <si>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</si>
  <si>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</si>
  <si>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</si>
  <si>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</si>
  <si>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</si>
  <si>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</si>
  <si>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</si>
  <si>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其他美术需求（ICON，模型，表情等）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</si>
  <si>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</si>
  <si>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</si>
  <si>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</si>
  <si>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</si>
  <si>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</si>
  <si>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</si>
  <si>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</si>
  <si>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</si>
  <si>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一个行囊样式的图标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</si>
</sst>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4" fillId="6" borderId="1" xfId="24" applyFont="1" applyFill="1" applyBorder="1" applyAlignment="1">
      <alignment horizontal="left"/>
    </xf>
    <xf numFmtId="0" fontId="0" fillId="0" borderId="1" xfId="0" applyBorder="1">
      <alignment vertical="center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7" borderId="0" xfId="0" applyFont="1" applyFill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10.png"/><Relationship Id="rId4" Type="http://schemas.openxmlformats.org/officeDocument/2006/relationships/image" Target="media/image9.png"/><Relationship Id="rId3" Type="http://schemas.openxmlformats.org/officeDocument/2006/relationships/image" Target="media/image8.png"/><Relationship Id="rId2" Type="http://schemas.openxmlformats.org/officeDocument/2006/relationships/image" Target="media/image7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495300</xdr:colOff>
      <xdr:row>132</xdr:row>
      <xdr:rowOff>9525</xdr:rowOff>
    </xdr:from>
    <xdr:to>
      <xdr:col>10</xdr:col>
      <xdr:colOff>109855</xdr:colOff>
      <xdr:row>149</xdr:row>
      <xdr:rowOff>86360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5300" y="28208605"/>
          <a:ext cx="6472555" cy="3639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626110</xdr:colOff>
      <xdr:row>82</xdr:row>
      <xdr:rowOff>82550</xdr:rowOff>
    </xdr:from>
    <xdr:to>
      <xdr:col>10</xdr:col>
      <xdr:colOff>139700</xdr:colOff>
      <xdr:row>99</xdr:row>
      <xdr:rowOff>95885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6110" y="17804130"/>
          <a:ext cx="6371590" cy="3575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657225</xdr:colOff>
      <xdr:row>31</xdr:row>
      <xdr:rowOff>161925</xdr:rowOff>
    </xdr:from>
    <xdr:to>
      <xdr:col>10</xdr:col>
      <xdr:colOff>38735</xdr:colOff>
      <xdr:row>47</xdr:row>
      <xdr:rowOff>156845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7225" y="6981825"/>
          <a:ext cx="6239510" cy="3562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516255</xdr:colOff>
      <xdr:row>32</xdr:row>
      <xdr:rowOff>60325</xdr:rowOff>
    </xdr:from>
    <xdr:to>
      <xdr:col>3</xdr:col>
      <xdr:colOff>390525</xdr:colOff>
      <xdr:row>34</xdr:row>
      <xdr:rowOff>13970</xdr:rowOff>
    </xdr:to>
    <xdr:sp>
      <xdr:nvSpPr>
        <xdr:cNvPr id="14" name="矩形 13"/>
        <xdr:cNvSpPr/>
      </xdr:nvSpPr>
      <xdr:spPr>
        <a:xfrm>
          <a:off x="1202055" y="7089775"/>
          <a:ext cx="1245870" cy="3727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438785</xdr:colOff>
      <xdr:row>29</xdr:row>
      <xdr:rowOff>123825</xdr:rowOff>
    </xdr:from>
    <xdr:to>
      <xdr:col>2</xdr:col>
      <xdr:colOff>133985</xdr:colOff>
      <xdr:row>30</xdr:row>
      <xdr:rowOff>200025</xdr:rowOff>
    </xdr:to>
    <xdr:sp>
      <xdr:nvSpPr>
        <xdr:cNvPr id="6" name="线形标注 1(无边框) 5"/>
        <xdr:cNvSpPr/>
      </xdr:nvSpPr>
      <xdr:spPr>
        <a:xfrm>
          <a:off x="1124585" y="6524625"/>
          <a:ext cx="381000" cy="285750"/>
        </a:xfrm>
        <a:prstGeom prst="callout1">
          <a:avLst>
            <a:gd name="adj1" fmla="val 92000"/>
            <a:gd name="adj2" fmla="val 94166"/>
            <a:gd name="adj3" fmla="val 190909"/>
            <a:gd name="adj4" fmla="val 21426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581660</xdr:colOff>
      <xdr:row>31</xdr:row>
      <xdr:rowOff>204470</xdr:rowOff>
    </xdr:from>
    <xdr:to>
      <xdr:col>1</xdr:col>
      <xdr:colOff>466725</xdr:colOff>
      <xdr:row>45</xdr:row>
      <xdr:rowOff>59055</xdr:rowOff>
    </xdr:to>
    <xdr:sp>
      <xdr:nvSpPr>
        <xdr:cNvPr id="12" name="矩形 11"/>
        <xdr:cNvSpPr/>
      </xdr:nvSpPr>
      <xdr:spPr>
        <a:xfrm>
          <a:off x="581660" y="7024370"/>
          <a:ext cx="570865" cy="30029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537845</xdr:colOff>
      <xdr:row>31</xdr:row>
      <xdr:rowOff>81280</xdr:rowOff>
    </xdr:from>
    <xdr:to>
      <xdr:col>4</xdr:col>
      <xdr:colOff>85090</xdr:colOff>
      <xdr:row>48</xdr:row>
      <xdr:rowOff>83185</xdr:rowOff>
    </xdr:to>
    <xdr:sp>
      <xdr:nvSpPr>
        <xdr:cNvPr id="29" name="矩形 28"/>
        <xdr:cNvSpPr/>
      </xdr:nvSpPr>
      <xdr:spPr>
        <a:xfrm>
          <a:off x="537845" y="6901180"/>
          <a:ext cx="2290445" cy="37788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10795</xdr:colOff>
      <xdr:row>32</xdr:row>
      <xdr:rowOff>130175</xdr:rowOff>
    </xdr:from>
    <xdr:to>
      <xdr:col>0</xdr:col>
      <xdr:colOff>391795</xdr:colOff>
      <xdr:row>33</xdr:row>
      <xdr:rowOff>206375</xdr:rowOff>
    </xdr:to>
    <xdr:sp>
      <xdr:nvSpPr>
        <xdr:cNvPr id="19" name="线形标注 1(无边框) 18"/>
        <xdr:cNvSpPr/>
      </xdr:nvSpPr>
      <xdr:spPr>
        <a:xfrm>
          <a:off x="10795" y="7159625"/>
          <a:ext cx="381000" cy="285750"/>
        </a:xfrm>
        <a:prstGeom prst="callout1">
          <a:avLst>
            <a:gd name="adj1" fmla="val 92000"/>
            <a:gd name="adj2" fmla="val 94166"/>
            <a:gd name="adj3" fmla="val 353880"/>
            <a:gd name="adj4" fmla="val 149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43180</xdr:colOff>
      <xdr:row>45</xdr:row>
      <xdr:rowOff>165735</xdr:rowOff>
    </xdr:from>
    <xdr:to>
      <xdr:col>0</xdr:col>
      <xdr:colOff>424180</xdr:colOff>
      <xdr:row>47</xdr:row>
      <xdr:rowOff>32385</xdr:rowOff>
    </xdr:to>
    <xdr:sp>
      <xdr:nvSpPr>
        <xdr:cNvPr id="20" name="线形标注 1(无边框) 19"/>
        <xdr:cNvSpPr/>
      </xdr:nvSpPr>
      <xdr:spPr>
        <a:xfrm>
          <a:off x="43180" y="10133965"/>
          <a:ext cx="381000" cy="285750"/>
        </a:xfrm>
        <a:prstGeom prst="callout1">
          <a:avLst>
            <a:gd name="adj1" fmla="val 92000"/>
            <a:gd name="adj2" fmla="val 94166"/>
            <a:gd name="adj3" fmla="val 99557"/>
            <a:gd name="adj4" fmla="val 173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356870</xdr:colOff>
      <xdr:row>45</xdr:row>
      <xdr:rowOff>132715</xdr:rowOff>
    </xdr:from>
    <xdr:to>
      <xdr:col>5</xdr:col>
      <xdr:colOff>52070</xdr:colOff>
      <xdr:row>46</xdr:row>
      <xdr:rowOff>208915</xdr:rowOff>
    </xdr:to>
    <xdr:sp>
      <xdr:nvSpPr>
        <xdr:cNvPr id="23" name="线形标注 1(无边框) 22"/>
        <xdr:cNvSpPr/>
      </xdr:nvSpPr>
      <xdr:spPr>
        <a:xfrm>
          <a:off x="3100070" y="10100945"/>
          <a:ext cx="381000" cy="285750"/>
        </a:xfrm>
        <a:prstGeom prst="callout1">
          <a:avLst>
            <a:gd name="adj1" fmla="val 92000"/>
            <a:gd name="adj2" fmla="val 94166"/>
            <a:gd name="adj3" fmla="val 101769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86995</xdr:colOff>
      <xdr:row>29</xdr:row>
      <xdr:rowOff>69215</xdr:rowOff>
    </xdr:from>
    <xdr:to>
      <xdr:col>0</xdr:col>
      <xdr:colOff>467995</xdr:colOff>
      <xdr:row>30</xdr:row>
      <xdr:rowOff>145415</xdr:rowOff>
    </xdr:to>
    <xdr:sp>
      <xdr:nvSpPr>
        <xdr:cNvPr id="25" name="线形标注 1(无边框) 24"/>
        <xdr:cNvSpPr/>
      </xdr:nvSpPr>
      <xdr:spPr>
        <a:xfrm>
          <a:off x="86995" y="6470015"/>
          <a:ext cx="381000" cy="285750"/>
        </a:xfrm>
        <a:prstGeom prst="callout1">
          <a:avLst>
            <a:gd name="adj1" fmla="val 92000"/>
            <a:gd name="adj2" fmla="val 94166"/>
            <a:gd name="adj3" fmla="val 159201"/>
            <a:gd name="adj4" fmla="val 19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12700</xdr:colOff>
      <xdr:row>46</xdr:row>
      <xdr:rowOff>22225</xdr:rowOff>
    </xdr:from>
    <xdr:to>
      <xdr:col>1</xdr:col>
      <xdr:colOff>272415</xdr:colOff>
      <xdr:row>47</xdr:row>
      <xdr:rowOff>154940</xdr:rowOff>
    </xdr:to>
    <xdr:sp>
      <xdr:nvSpPr>
        <xdr:cNvPr id="11" name="矩形 10"/>
        <xdr:cNvSpPr/>
      </xdr:nvSpPr>
      <xdr:spPr>
        <a:xfrm>
          <a:off x="698500" y="10200005"/>
          <a:ext cx="259715" cy="3422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292735</xdr:colOff>
      <xdr:row>46</xdr:row>
      <xdr:rowOff>48260</xdr:rowOff>
    </xdr:from>
    <xdr:to>
      <xdr:col>4</xdr:col>
      <xdr:colOff>12065</xdr:colOff>
      <xdr:row>47</xdr:row>
      <xdr:rowOff>171450</xdr:rowOff>
    </xdr:to>
    <xdr:sp>
      <xdr:nvSpPr>
        <xdr:cNvPr id="24" name="矩形 23"/>
        <xdr:cNvSpPr/>
      </xdr:nvSpPr>
      <xdr:spPr>
        <a:xfrm>
          <a:off x="978535" y="10226040"/>
          <a:ext cx="1776730" cy="3327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67310</xdr:colOff>
      <xdr:row>72</xdr:row>
      <xdr:rowOff>0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2063730"/>
          <a:ext cx="6239510" cy="3562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548640</xdr:colOff>
      <xdr:row>92</xdr:row>
      <xdr:rowOff>26035</xdr:rowOff>
    </xdr:from>
    <xdr:to>
      <xdr:col>3</xdr:col>
      <xdr:colOff>341630</xdr:colOff>
      <xdr:row>93</xdr:row>
      <xdr:rowOff>70485</xdr:rowOff>
    </xdr:to>
    <xdr:sp>
      <xdr:nvSpPr>
        <xdr:cNvPr id="26" name="矩形 25"/>
        <xdr:cNvSpPr/>
      </xdr:nvSpPr>
      <xdr:spPr>
        <a:xfrm>
          <a:off x="1234440" y="19843115"/>
          <a:ext cx="1164590" cy="2540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678815</xdr:colOff>
      <xdr:row>91</xdr:row>
      <xdr:rowOff>111125</xdr:rowOff>
    </xdr:from>
    <xdr:to>
      <xdr:col>4</xdr:col>
      <xdr:colOff>374015</xdr:colOff>
      <xdr:row>92</xdr:row>
      <xdr:rowOff>187325</xdr:rowOff>
    </xdr:to>
    <xdr:sp>
      <xdr:nvSpPr>
        <xdr:cNvPr id="28" name="线形标注 1(无边框) 27"/>
        <xdr:cNvSpPr/>
      </xdr:nvSpPr>
      <xdr:spPr>
        <a:xfrm>
          <a:off x="2736215" y="19718655"/>
          <a:ext cx="381000" cy="285750"/>
        </a:xfrm>
        <a:prstGeom prst="callout1">
          <a:avLst>
            <a:gd name="adj1" fmla="val 92000"/>
            <a:gd name="adj2" fmla="val 94166"/>
            <a:gd name="adj3" fmla="val 101769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498475</xdr:colOff>
      <xdr:row>93</xdr:row>
      <xdr:rowOff>133350</xdr:rowOff>
    </xdr:from>
    <xdr:to>
      <xdr:col>4</xdr:col>
      <xdr:colOff>17145</xdr:colOff>
      <xdr:row>98</xdr:row>
      <xdr:rowOff>61595</xdr:rowOff>
    </xdr:to>
    <xdr:sp>
      <xdr:nvSpPr>
        <xdr:cNvPr id="30" name="矩形 29"/>
        <xdr:cNvSpPr/>
      </xdr:nvSpPr>
      <xdr:spPr>
        <a:xfrm>
          <a:off x="1184275" y="20159980"/>
          <a:ext cx="1576070" cy="9759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363220</xdr:colOff>
      <xdr:row>94</xdr:row>
      <xdr:rowOff>164465</xdr:rowOff>
    </xdr:from>
    <xdr:to>
      <xdr:col>5</xdr:col>
      <xdr:colOff>58420</xdr:colOff>
      <xdr:row>96</xdr:row>
      <xdr:rowOff>31115</xdr:rowOff>
    </xdr:to>
    <xdr:sp>
      <xdr:nvSpPr>
        <xdr:cNvPr id="31" name="线形标注 1(无边框) 30"/>
        <xdr:cNvSpPr/>
      </xdr:nvSpPr>
      <xdr:spPr>
        <a:xfrm>
          <a:off x="3106420" y="20400645"/>
          <a:ext cx="381000" cy="285750"/>
        </a:xfrm>
        <a:prstGeom prst="callout1">
          <a:avLst>
            <a:gd name="adj1" fmla="val 92000"/>
            <a:gd name="adj2" fmla="val 94166"/>
            <a:gd name="adj3" fmla="val 101769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602615</xdr:colOff>
      <xdr:row>106</xdr:row>
      <xdr:rowOff>160655</xdr:rowOff>
    </xdr:from>
    <xdr:to>
      <xdr:col>10</xdr:col>
      <xdr:colOff>116205</xdr:colOff>
      <xdr:row>123</xdr:row>
      <xdr:rowOff>173990</xdr:rowOff>
    </xdr:to>
    <xdr:pic>
      <xdr:nvPicPr>
        <xdr:cNvPr id="32" name="图片 3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2615" y="22911435"/>
          <a:ext cx="6371590" cy="3575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339725</xdr:colOff>
      <xdr:row>138</xdr:row>
      <xdr:rowOff>145415</xdr:rowOff>
    </xdr:from>
    <xdr:to>
      <xdr:col>3</xdr:col>
      <xdr:colOff>151130</xdr:colOff>
      <xdr:row>140</xdr:row>
      <xdr:rowOff>80645</xdr:rowOff>
    </xdr:to>
    <xdr:sp>
      <xdr:nvSpPr>
        <xdr:cNvPr id="34" name="矩形 33"/>
        <xdr:cNvSpPr/>
      </xdr:nvSpPr>
      <xdr:spPr>
        <a:xfrm>
          <a:off x="1025525" y="29601795"/>
          <a:ext cx="1183005" cy="3543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488315</xdr:colOff>
      <xdr:row>138</xdr:row>
      <xdr:rowOff>64135</xdr:rowOff>
    </xdr:from>
    <xdr:to>
      <xdr:col>4</xdr:col>
      <xdr:colOff>183515</xdr:colOff>
      <xdr:row>139</xdr:row>
      <xdr:rowOff>140335</xdr:rowOff>
    </xdr:to>
    <xdr:sp>
      <xdr:nvSpPr>
        <xdr:cNvPr id="35" name="线形标注 1(无边框) 34"/>
        <xdr:cNvSpPr/>
      </xdr:nvSpPr>
      <xdr:spPr>
        <a:xfrm>
          <a:off x="2545715" y="29520515"/>
          <a:ext cx="381000" cy="285750"/>
        </a:xfrm>
        <a:prstGeom prst="callout1">
          <a:avLst>
            <a:gd name="adj1" fmla="val 92000"/>
            <a:gd name="adj2" fmla="val 94166"/>
            <a:gd name="adj3" fmla="val 101769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514350</xdr:colOff>
      <xdr:row>3</xdr:row>
      <xdr:rowOff>142875</xdr:rowOff>
    </xdr:from>
    <xdr:to>
      <xdr:col>7</xdr:col>
      <xdr:colOff>485775</xdr:colOff>
      <xdr:row>14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14350" y="1019175"/>
          <a:ext cx="4772025" cy="217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586740</xdr:colOff>
      <xdr:row>141</xdr:row>
      <xdr:rowOff>172085</xdr:rowOff>
    </xdr:from>
    <xdr:to>
      <xdr:col>4</xdr:col>
      <xdr:colOff>281940</xdr:colOff>
      <xdr:row>143</xdr:row>
      <xdr:rowOff>38100</xdr:rowOff>
    </xdr:to>
    <xdr:sp>
      <xdr:nvSpPr>
        <xdr:cNvPr id="4" name="线形标注 1(无边框) 3"/>
        <xdr:cNvSpPr/>
      </xdr:nvSpPr>
      <xdr:spPr>
        <a:xfrm>
          <a:off x="2644140" y="30257115"/>
          <a:ext cx="381000" cy="285115"/>
        </a:xfrm>
        <a:prstGeom prst="callout1">
          <a:avLst>
            <a:gd name="adj1" fmla="val 92000"/>
            <a:gd name="adj2" fmla="val 94166"/>
            <a:gd name="adj3" fmla="val 101769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295275</xdr:colOff>
      <xdr:row>136</xdr:row>
      <xdr:rowOff>177165</xdr:rowOff>
    </xdr:from>
    <xdr:to>
      <xdr:col>3</xdr:col>
      <xdr:colOff>267970</xdr:colOff>
      <xdr:row>146</xdr:row>
      <xdr:rowOff>92710</xdr:rowOff>
    </xdr:to>
    <xdr:sp>
      <xdr:nvSpPr>
        <xdr:cNvPr id="5" name="矩形 4"/>
        <xdr:cNvSpPr/>
      </xdr:nvSpPr>
      <xdr:spPr>
        <a:xfrm>
          <a:off x="981075" y="29214445"/>
          <a:ext cx="1344295" cy="20110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161290</xdr:colOff>
      <xdr:row>150</xdr:row>
      <xdr:rowOff>60960</xdr:rowOff>
    </xdr:from>
    <xdr:to>
      <xdr:col>1</xdr:col>
      <xdr:colOff>542290</xdr:colOff>
      <xdr:row>151</xdr:row>
      <xdr:rowOff>136525</xdr:rowOff>
    </xdr:to>
    <xdr:sp>
      <xdr:nvSpPr>
        <xdr:cNvPr id="7" name="线形标注 1(无边框) 6"/>
        <xdr:cNvSpPr/>
      </xdr:nvSpPr>
      <xdr:spPr>
        <a:xfrm>
          <a:off x="847090" y="32031940"/>
          <a:ext cx="381000" cy="285115"/>
        </a:xfrm>
        <a:prstGeom prst="callout1">
          <a:avLst>
            <a:gd name="adj1" fmla="val 92000"/>
            <a:gd name="adj2" fmla="val 94166"/>
            <a:gd name="adj3" fmla="val -345879"/>
            <a:gd name="adj4" fmla="val -3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342900</xdr:colOff>
      <xdr:row>18</xdr:row>
      <xdr:rowOff>57150</xdr:rowOff>
    </xdr:from>
    <xdr:to>
      <xdr:col>8</xdr:col>
      <xdr:colOff>428625</xdr:colOff>
      <xdr:row>52</xdr:row>
      <xdr:rowOff>95250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2900" y="4076700"/>
          <a:ext cx="5572125" cy="7162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0" sqref="F10"/>
    </sheetView>
  </sheetViews>
  <sheetFormatPr defaultColWidth="9" defaultRowHeight="13.5"/>
  <cols>
    <col min="1" max="1" width="10.375" style="7"/>
    <col min="2" max="2" width="11.5" style="7" customWidth="1"/>
    <col min="3" max="3" width="15" style="7" customWidth="1"/>
    <col min="4" max="4" width="9.75" style="7" customWidth="1"/>
    <col min="5" max="16384" width="9" style="7"/>
  </cols>
  <sheetData>
    <row r="1" ht="29.25" spans="1:1638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5" spans="2:4">
      <c r="B5" s="41" t="s">
        <v>1</v>
      </c>
      <c r="C5" s="42" t="s">
        <v>2</v>
      </c>
      <c r="D5" s="42"/>
    </row>
    <row r="6" spans="2:4">
      <c r="B6" s="43" t="s">
        <v>3</v>
      </c>
      <c r="C6" s="44" t="s">
        <v>4</v>
      </c>
      <c r="D6" s="44" t="s">
        <v>5</v>
      </c>
    </row>
    <row r="7" spans="2:4">
      <c r="B7" s="45">
        <v>45521</v>
      </c>
      <c r="C7" s="46" t="s">
        <v>6</v>
      </c>
      <c r="D7" s="46" t="s">
        <v>7</v>
      </c>
    </row>
    <row r="8" spans="2:4">
      <c r="B8" s="45"/>
      <c r="C8" s="46"/>
      <c r="D8" s="46"/>
    </row>
    <row r="9" spans="2:4">
      <c r="B9" s="45"/>
      <c r="C9" s="46"/>
      <c r="D9" s="46"/>
    </row>
    <row r="10" spans="2:4">
      <c r="B10" s="47"/>
      <c r="C10" s="46"/>
      <c r="D10" s="46"/>
    </row>
    <row r="11" spans="2:4">
      <c r="B11" s="47"/>
      <c r="C11" s="46"/>
      <c r="D11" s="46"/>
    </row>
    <row r="12" spans="2:4">
      <c r="B12" s="47"/>
      <c r="C12" s="46"/>
      <c r="D12" s="46"/>
    </row>
    <row r="13" spans="2:4">
      <c r="B13" s="47"/>
      <c r="C13" s="46"/>
      <c r="D13" s="46"/>
    </row>
    <row r="14" spans="2:4">
      <c r="B14" s="47"/>
      <c r="C14" s="46"/>
      <c r="D14" s="46"/>
    </row>
    <row r="15" spans="2:4">
      <c r="B15" s="47"/>
      <c r="C15" s="46"/>
      <c r="D15" s="46"/>
    </row>
    <row r="16" spans="2:4">
      <c r="B16" s="47"/>
      <c r="C16" s="46"/>
      <c r="D16" s="46"/>
    </row>
    <row r="17" spans="2:4">
      <c r="B17" s="47"/>
      <c r="C17" s="46"/>
      <c r="D17" s="46"/>
    </row>
    <row r="18" spans="2:4">
      <c r="B18" s="47"/>
      <c r="C18" s="46"/>
      <c r="D18" s="46"/>
    </row>
    <row r="19" spans="2:4">
      <c r="B19" s="47"/>
      <c r="C19" s="46"/>
      <c r="D19" s="46"/>
    </row>
    <row r="20" spans="2:4">
      <c r="B20" s="47"/>
      <c r="C20" s="46"/>
      <c r="D20" s="46"/>
    </row>
    <row r="21" spans="2:4">
      <c r="B21" s="47"/>
      <c r="C21" s="46"/>
      <c r="D21" s="46"/>
    </row>
    <row r="22" spans="2:4">
      <c r="B22" s="47"/>
      <c r="C22" s="46"/>
      <c r="D22" s="46"/>
    </row>
    <row r="23" spans="2:4">
      <c r="B23" s="47"/>
      <c r="C23" s="46"/>
      <c r="D23" s="46"/>
    </row>
    <row r="24" spans="2:4">
      <c r="B24" s="47"/>
      <c r="C24" s="46"/>
      <c r="D24" s="46"/>
    </row>
    <row r="25" spans="2:4">
      <c r="B25" s="47"/>
      <c r="C25" s="46"/>
      <c r="D25" s="46"/>
    </row>
    <row r="26" spans="2:4">
      <c r="B26" s="47"/>
      <c r="C26" s="46"/>
      <c r="D26" s="46"/>
    </row>
    <row r="27" spans="2:4">
      <c r="B27" s="47"/>
      <c r="C27" s="46"/>
      <c r="D27" s="4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8</v>
      </c>
    </row>
    <row r="3" ht="22.5" spans="2:7">
      <c r="B3" s="29" t="s">
        <v>9</v>
      </c>
      <c r="C3" s="29"/>
      <c r="D3" s="29"/>
      <c r="E3" s="29"/>
      <c r="F3" s="29"/>
      <c r="G3" s="29"/>
    </row>
    <row r="5" spans="2:6">
      <c r="B5" t="s">
        <v>10</v>
      </c>
      <c r="C5"/>
      <c r="D5" s="13"/>
      <c r="E5" s="13"/>
      <c r="F5" s="13"/>
    </row>
    <row r="6" spans="2:6">
      <c r="B6" s="15"/>
      <c r="D6" s="13"/>
      <c r="E6" s="13"/>
      <c r="F6" s="13"/>
    </row>
    <row r="7" spans="2:6">
      <c r="B7" s="15"/>
      <c r="C7" s="13"/>
      <c r="D7" s="13"/>
      <c r="E7" s="13"/>
      <c r="F7" s="13"/>
    </row>
    <row r="8" spans="2:6">
      <c r="B8" s="15"/>
      <c r="C8" s="13"/>
      <c r="D8" s="13"/>
      <c r="E8" s="13"/>
      <c r="F8" s="13"/>
    </row>
    <row r="9" spans="2:6">
      <c r="B9" s="13"/>
      <c r="C9" s="13"/>
      <c r="D9" s="13"/>
      <c r="E9" s="13"/>
      <c r="F9" s="13"/>
    </row>
    <row r="10" spans="2:3">
      <c r="B10" s="15"/>
      <c r="C10" s="13"/>
    </row>
    <row r="11" spans="2:3">
      <c r="B11" s="15"/>
      <c r="C11" s="13"/>
    </row>
    <row r="12" ht="22.5" spans="2:7">
      <c r="B12" s="12" t="s">
        <v>11</v>
      </c>
      <c r="C12" s="12"/>
      <c r="D12" s="12"/>
      <c r="E12" s="12"/>
      <c r="F12" s="12"/>
      <c r="G12" s="12"/>
    </row>
    <row r="14" spans="2:3">
      <c r="B14" s="13"/>
      <c r="C14" s="13"/>
    </row>
    <row r="15" spans="2:3">
      <c r="B15" s="15"/>
      <c r="C15" s="13"/>
    </row>
    <row r="16" spans="2:3">
      <c r="B16" s="13"/>
      <c r="C16" s="13"/>
    </row>
    <row r="17" spans="2:3">
      <c r="B17" s="15"/>
      <c r="C17" s="13"/>
    </row>
    <row r="18" spans="2:3">
      <c r="B18" s="13"/>
      <c r="C18" s="13"/>
    </row>
    <row r="19" spans="2:3">
      <c r="B19" s="15"/>
      <c r="C19" s="13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3"/>
  <sheetViews>
    <sheetView tabSelected="1" workbookViewId="0">
      <pane xSplit="11" ySplit="1" topLeftCell="T122" activePane="bottomRight" state="frozen"/>
      <selection/>
      <selection pane="topRight"/>
      <selection pane="bottomLeft"/>
      <selection pane="bottomRight" activeCell="Y153" sqref="Y153"/>
    </sheetView>
  </sheetViews>
  <sheetFormatPr defaultColWidth="9" defaultRowHeight="16.5"/>
  <cols>
    <col min="1" max="13" width="9" style="11"/>
    <col min="14" max="15" width="12.5" style="11"/>
    <col min="16" max="20" width="9" style="11"/>
    <col min="21" max="21" width="2.05833333333333" style="28" customWidth="1"/>
    <col min="22" max="24" width="9" style="11"/>
    <col min="25" max="26" width="12.5" style="11"/>
    <col min="27" max="16384" width="9" style="11"/>
  </cols>
  <sheetData>
    <row r="1" s="10" customFormat="1" ht="30" customHeight="1" spans="1:38">
      <c r="A1" s="10" t="s">
        <v>12</v>
      </c>
      <c r="V1" s="10" t="s">
        <v>13</v>
      </c>
      <c r="W1" s="35"/>
      <c r="AL1" s="39"/>
    </row>
    <row r="3" ht="22.5" spans="2:24">
      <c r="B3" s="29" t="s">
        <v>14</v>
      </c>
      <c r="C3" s="29"/>
      <c r="D3" s="29"/>
      <c r="E3" s="29"/>
      <c r="F3" s="29"/>
      <c r="G3" s="29"/>
      <c r="X3" s="36"/>
    </row>
    <row r="4" spans="14:14">
      <c r="N4" s="15"/>
    </row>
    <row r="5" spans="10:15">
      <c r="J5"/>
      <c r="L5" s="13"/>
      <c r="M5" s="13"/>
      <c r="N5" s="15"/>
      <c r="O5" s="13"/>
    </row>
    <row r="9" spans="12:13">
      <c r="L9" s="13"/>
      <c r="M9" s="13"/>
    </row>
    <row r="10" spans="12:13">
      <c r="L10" s="15"/>
      <c r="M10" s="13"/>
    </row>
    <row r="11" spans="12:13">
      <c r="L11" s="15"/>
      <c r="M11" s="13"/>
    </row>
    <row r="12" spans="12:13">
      <c r="L12" s="13"/>
      <c r="M12" s="13"/>
    </row>
    <row r="13" spans="12:13">
      <c r="L13" s="15"/>
      <c r="M13" s="13"/>
    </row>
    <row r="14" spans="14:14">
      <c r="N14" s="13"/>
    </row>
    <row r="15" spans="11:14">
      <c r="K15" s="11" t="s">
        <v>15</v>
      </c>
      <c r="N15" s="13"/>
    </row>
    <row r="16" spans="2:14">
      <c r="B16" s="11" t="s">
        <v>16</v>
      </c>
      <c r="N16" s="13"/>
    </row>
    <row r="19" spans="16:19">
      <c r="P19"/>
      <c r="S19" s="11" t="s">
        <v>17</v>
      </c>
    </row>
    <row r="21" spans="13:14">
      <c r="M21" s="13"/>
      <c r="N21" s="13"/>
    </row>
    <row r="22" spans="13:14">
      <c r="M22" s="15"/>
      <c r="N22" s="13"/>
    </row>
    <row r="23" spans="13:14">
      <c r="M23" s="13"/>
      <c r="N23" s="13"/>
    </row>
    <row r="24" spans="13:14">
      <c r="M24" s="15"/>
      <c r="N24" s="13"/>
    </row>
    <row r="26" spans="23:23">
      <c r="W26" s="15"/>
    </row>
    <row r="27" spans="23:23">
      <c r="W27" s="15"/>
    </row>
    <row r="28" spans="23:23">
      <c r="W28" s="15"/>
    </row>
    <row r="29" s="28" customFormat="1" ht="22.5" spans="2:23">
      <c r="B29" s="29" t="s">
        <v>18</v>
      </c>
      <c r="C29" s="29"/>
      <c r="D29" s="29"/>
      <c r="E29" s="29"/>
      <c r="F29" s="29"/>
      <c r="G29" s="29"/>
      <c r="W29" s="37"/>
    </row>
    <row r="31" spans="12:27">
      <c r="L31" s="11" t="s">
        <v>19</v>
      </c>
      <c r="T31"/>
      <c r="W31" s="11" t="s">
        <v>20</v>
      </c>
      <c r="AA31" s="32"/>
    </row>
    <row r="32" spans="12:27">
      <c r="L32" s="31" t="s">
        <v>21</v>
      </c>
      <c r="M32" s="13" t="s">
        <v>22</v>
      </c>
      <c r="N32" s="13"/>
      <c r="O32" s="13"/>
      <c r="P32" s="13"/>
      <c r="W32" s="32" t="s">
        <v>23</v>
      </c>
      <c r="X32" s="32"/>
      <c r="Y32" s="32"/>
      <c r="Z32" s="32"/>
      <c r="AA32" s="32"/>
    </row>
    <row r="33" spans="11:26">
      <c r="K33"/>
      <c r="L33" s="32" t="s">
        <v>24</v>
      </c>
      <c r="M33" s="13"/>
      <c r="N33" s="13"/>
      <c r="O33" s="13"/>
      <c r="P33" s="13"/>
      <c r="W33" s="32" t="s">
        <v>25</v>
      </c>
      <c r="X33" s="32"/>
      <c r="Y33" s="32"/>
      <c r="Z33" s="32"/>
    </row>
    <row r="34" spans="12:31">
      <c r="L34" s="31" t="s">
        <v>21</v>
      </c>
      <c r="M34" s="13" t="s">
        <v>26</v>
      </c>
      <c r="N34" s="13"/>
      <c r="O34" s="13"/>
      <c r="P34" s="13"/>
      <c r="W34" s="33" t="s">
        <v>21</v>
      </c>
      <c r="X34" s="11" t="s">
        <v>27</v>
      </c>
      <c r="AE34" s="33"/>
    </row>
    <row r="35" spans="12:23">
      <c r="L35" s="33" t="s">
        <v>21</v>
      </c>
      <c r="M35" s="11" t="s">
        <v>28</v>
      </c>
      <c r="O35"/>
      <c r="U35" s="38"/>
      <c r="W35" s="11" t="s">
        <v>29</v>
      </c>
    </row>
    <row r="36" ht="33.4" spans="12:26">
      <c r="L36" s="13" t="s">
        <v>30</v>
      </c>
      <c r="M36" s="13"/>
      <c r="N36" s="13"/>
      <c r="O36" s="13"/>
      <c r="P36" s="13"/>
      <c r="W36" s="33" t="s">
        <v>21</v>
      </c>
      <c r="X36" s="11" t="s">
        <v>31</v>
      </c>
      <c r="Y36" s="11" t="str">
        <f>_xlfn.DISPIMG("ID_126612C0AA554D98B971EE1F173BA61F",1)</f>
        <v>=DISPIMG("ID_126612C0AA554D98B971EE1F173BA61F",1)</v>
      </c>
      <c r="Z36"/>
    </row>
    <row r="37" spans="12:29">
      <c r="L37" s="31" t="s">
        <v>21</v>
      </c>
      <c r="M37" s="13" t="s">
        <v>32</v>
      </c>
      <c r="N37" s="13"/>
      <c r="O37" s="13"/>
      <c r="P37" s="13"/>
      <c r="W37" s="33" t="s">
        <v>21</v>
      </c>
      <c r="X37" s="11" t="s">
        <v>33</v>
      </c>
      <c r="AA37" s="32"/>
      <c r="AB37" s="32"/>
      <c r="AC37"/>
    </row>
    <row r="38" spans="12:28">
      <c r="L38" s="33" t="s">
        <v>21</v>
      </c>
      <c r="M38" s="11" t="s">
        <v>34</v>
      </c>
      <c r="R38"/>
      <c r="W38" s="32" t="s">
        <v>35</v>
      </c>
      <c r="X38" s="32"/>
      <c r="Y38" s="32"/>
      <c r="Z38" s="32"/>
      <c r="AA38" s="32"/>
      <c r="AB38" s="32"/>
    </row>
    <row r="39" spans="12:28">
      <c r="L39" s="13" t="s">
        <v>36</v>
      </c>
      <c r="P39" s="30"/>
      <c r="W39" s="31" t="s">
        <v>21</v>
      </c>
      <c r="X39" s="32" t="s">
        <v>37</v>
      </c>
      <c r="Y39" s="32"/>
      <c r="Z39" s="32"/>
      <c r="AA39" s="32"/>
      <c r="AB39" s="32"/>
    </row>
    <row r="40" spans="12:28">
      <c r="L40" s="33" t="s">
        <v>21</v>
      </c>
      <c r="M40" s="11" t="s">
        <v>38</v>
      </c>
      <c r="W40" s="31" t="s">
        <v>21</v>
      </c>
      <c r="X40" s="32" t="s">
        <v>39</v>
      </c>
      <c r="Y40" s="32"/>
      <c r="Z40" s="32"/>
      <c r="AA40" s="32"/>
      <c r="AB40" s="32"/>
    </row>
    <row r="41" spans="12:28">
      <c r="L41" s="13" t="s">
        <v>40</v>
      </c>
      <c r="M41" s="13"/>
      <c r="W41" s="31" t="s">
        <v>21</v>
      </c>
      <c r="X41" s="32" t="s">
        <v>41</v>
      </c>
      <c r="Y41" s="32"/>
      <c r="Z41" s="32"/>
      <c r="AA41" s="32"/>
      <c r="AB41" s="32"/>
    </row>
    <row r="42" spans="12:26">
      <c r="L42" s="34" t="s">
        <v>21</v>
      </c>
      <c r="M42" s="11" t="s">
        <v>42</v>
      </c>
      <c r="W42" s="31" t="s">
        <v>21</v>
      </c>
      <c r="X42" s="32" t="s">
        <v>43</v>
      </c>
      <c r="Y42" s="32"/>
      <c r="Z42" s="32"/>
    </row>
    <row r="43" spans="23:26">
      <c r="W43" s="32" t="s">
        <v>44</v>
      </c>
      <c r="X43" s="32"/>
      <c r="Y43" s="32"/>
      <c r="Z43" s="32"/>
    </row>
    <row r="44" spans="23:29">
      <c r="W44" s="31" t="s">
        <v>21</v>
      </c>
      <c r="X44" s="32" t="s">
        <v>45</v>
      </c>
      <c r="Y44" s="32"/>
      <c r="Z44" s="32"/>
      <c r="AA44" s="13"/>
      <c r="AB44" s="13"/>
      <c r="AC44" s="13"/>
    </row>
    <row r="45" spans="12:29">
      <c r="L45" s="13"/>
      <c r="M45" s="13"/>
      <c r="N45" s="13"/>
      <c r="O45" s="13"/>
      <c r="P45" s="13"/>
      <c r="Q45" s="13"/>
      <c r="R45" s="13"/>
      <c r="W45" s="31" t="s">
        <v>21</v>
      </c>
      <c r="X45" s="32" t="s">
        <v>46</v>
      </c>
      <c r="Y45" s="32"/>
      <c r="Z45" s="32" t="str">
        <f>_xlfn.DISPIMG("ID_F7CB1AA7C409409DBBEB980CDB84345A",1)</f>
        <v>=DISPIMG("ID_F7CB1AA7C409409DBBEB980CDB84345A",1)</v>
      </c>
      <c r="AA45" s="13"/>
      <c r="AB45" s="13"/>
      <c r="AC45" s="13"/>
    </row>
    <row r="46" spans="12:29">
      <c r="L46" s="34"/>
      <c r="M46" s="13"/>
      <c r="N46" s="13"/>
      <c r="O46" s="13"/>
      <c r="P46" s="13"/>
      <c r="Q46" s="13"/>
      <c r="R46" s="13"/>
      <c r="W46" s="31" t="s">
        <v>21</v>
      </c>
      <c r="X46" s="32" t="s">
        <v>47</v>
      </c>
      <c r="Y46" s="32"/>
      <c r="Z46" s="32" t="str">
        <f>_xlfn.DISPIMG("ID_BF119D698D534625B3DC93FD9E7B3F0F",1)</f>
        <v>=DISPIMG("ID_BF119D698D534625B3DC93FD9E7B3F0F",1)</v>
      </c>
      <c r="AA46" s="13"/>
      <c r="AB46" s="13"/>
      <c r="AC46" s="13"/>
    </row>
    <row r="47" spans="12:29">
      <c r="L47" s="34"/>
      <c r="M47" s="13"/>
      <c r="N47" s="13"/>
      <c r="O47" s="13"/>
      <c r="P47" s="13"/>
      <c r="Q47" s="13"/>
      <c r="R47" s="13"/>
      <c r="W47" s="31" t="s">
        <v>21</v>
      </c>
      <c r="X47" s="32" t="s">
        <v>48</v>
      </c>
      <c r="Y47" s="32"/>
      <c r="Z47" s="32" t="str">
        <f>_xlfn.DISPIMG("ID_580BB90375714EAEA6BDD8CFB1E08C14",1)</f>
        <v>=DISPIMG("ID_580BB90375714EAEA6BDD8CFB1E08C14",1)</v>
      </c>
      <c r="AA47" s="13"/>
      <c r="AB47" s="13"/>
      <c r="AC47" s="13"/>
    </row>
    <row r="48" spans="15:29">
      <c r="O48" s="13"/>
      <c r="P48" s="13"/>
      <c r="Q48" s="13"/>
      <c r="R48" s="13"/>
      <c r="W48" s="32" t="s">
        <v>49</v>
      </c>
      <c r="X48" s="32"/>
      <c r="Y48" s="32"/>
      <c r="Z48" s="32"/>
      <c r="AA48" s="13"/>
      <c r="AB48" s="13"/>
      <c r="AC48" s="13"/>
    </row>
    <row r="49" spans="12:26">
      <c r="L49" s="33"/>
      <c r="O49" s="13"/>
      <c r="P49" s="13"/>
      <c r="Q49" s="13"/>
      <c r="R49" s="13"/>
      <c r="W49" s="31" t="s">
        <v>21</v>
      </c>
      <c r="X49" s="11" t="s">
        <v>50</v>
      </c>
      <c r="Y49" s="13"/>
      <c r="Z49" s="13"/>
    </row>
    <row r="50" spans="23:24">
      <c r="W50" s="31" t="s">
        <v>21</v>
      </c>
      <c r="X50" s="11" t="s">
        <v>51</v>
      </c>
    </row>
    <row r="51" spans="12:27">
      <c r="L51" s="33"/>
      <c r="W51" s="32" t="s">
        <v>52</v>
      </c>
      <c r="X51" s="32"/>
      <c r="AA51" s="32"/>
    </row>
    <row r="52" spans="17:28">
      <c r="Q52"/>
      <c r="W52" s="32" t="s">
        <v>53</v>
      </c>
      <c r="X52" s="32"/>
      <c r="Y52" s="32"/>
      <c r="Z52" s="32"/>
      <c r="AB52"/>
    </row>
    <row r="53" spans="12:24">
      <c r="L53" s="33"/>
      <c r="W53" s="31" t="s">
        <v>21</v>
      </c>
      <c r="X53" s="11" t="s">
        <v>54</v>
      </c>
    </row>
    <row r="54" spans="2:24">
      <c r="B54" s="30" t="s">
        <v>55</v>
      </c>
      <c r="L54" s="15"/>
      <c r="W54" s="31" t="s">
        <v>21</v>
      </c>
      <c r="X54" s="11" t="s">
        <v>56</v>
      </c>
    </row>
    <row r="56" spans="12:12">
      <c r="L56" s="33"/>
    </row>
    <row r="58" spans="23:23">
      <c r="W58" s="33"/>
    </row>
    <row r="59" spans="23:23">
      <c r="W59" s="33"/>
    </row>
    <row r="60" spans="12:12">
      <c r="L60" s="33"/>
    </row>
    <row r="61" spans="12:12">
      <c r="L61" s="33"/>
    </row>
    <row r="65" spans="12:23">
      <c r="L65" s="33"/>
      <c r="N65"/>
      <c r="W65" s="33"/>
    </row>
    <row r="66" spans="12:12">
      <c r="L66" s="33"/>
    </row>
    <row r="67" spans="12:23">
      <c r="L67" s="33"/>
      <c r="O67"/>
      <c r="W67" s="33"/>
    </row>
    <row r="68" spans="23:23">
      <c r="W68" s="33"/>
    </row>
    <row r="69" spans="14:23">
      <c r="N69"/>
      <c r="W69" s="33"/>
    </row>
    <row r="70" spans="12:13">
      <c r="L70" s="28"/>
      <c r="M70" s="28"/>
    </row>
    <row r="72" spans="2:23">
      <c r="B72"/>
      <c r="J72"/>
      <c r="O72"/>
      <c r="W72" s="33"/>
    </row>
    <row r="73" spans="2:23">
      <c r="B73"/>
      <c r="W73" s="33"/>
    </row>
    <row r="74" spans="17:17">
      <c r="Q74"/>
    </row>
    <row r="75" spans="23:23">
      <c r="W75" s="33"/>
    </row>
    <row r="78" s="28" customFormat="1"/>
    <row r="83" spans="12:23">
      <c r="L83" s="11" t="s">
        <v>57</v>
      </c>
      <c r="W83" s="11" t="s">
        <v>58</v>
      </c>
    </row>
    <row r="84" spans="12:23">
      <c r="L84" s="34" t="s">
        <v>21</v>
      </c>
      <c r="M84" s="11" t="s">
        <v>59</v>
      </c>
      <c r="W84" s="11" t="s">
        <v>60</v>
      </c>
    </row>
    <row r="85" spans="12:24">
      <c r="L85" s="13" t="s">
        <v>60</v>
      </c>
      <c r="W85" s="34" t="s">
        <v>21</v>
      </c>
      <c r="X85" s="11" t="s">
        <v>61</v>
      </c>
    </row>
    <row r="86" spans="12:24">
      <c r="L86" s="13"/>
      <c r="W86" s="34" t="s">
        <v>21</v>
      </c>
      <c r="X86" s="11" t="s">
        <v>62</v>
      </c>
    </row>
    <row r="87" spans="12:24">
      <c r="L87" s="34" t="s">
        <v>21</v>
      </c>
      <c r="M87" s="11" t="s">
        <v>63</v>
      </c>
      <c r="W87" s="34" t="s">
        <v>21</v>
      </c>
      <c r="X87" s="11" t="s">
        <v>34</v>
      </c>
    </row>
    <row r="88" spans="12:23">
      <c r="L88" s="34" t="s">
        <v>21</v>
      </c>
      <c r="M88" s="11" t="s">
        <v>34</v>
      </c>
      <c r="W88" s="11" t="s">
        <v>64</v>
      </c>
    </row>
    <row r="89" spans="12:24">
      <c r="L89" s="11" t="s">
        <v>64</v>
      </c>
      <c r="W89" s="34" t="s">
        <v>21</v>
      </c>
      <c r="X89" s="11" t="s">
        <v>65</v>
      </c>
    </row>
    <row r="90" spans="12:24">
      <c r="L90" s="34" t="s">
        <v>21</v>
      </c>
      <c r="M90" s="11" t="s">
        <v>65</v>
      </c>
      <c r="W90" s="34" t="s">
        <v>21</v>
      </c>
      <c r="X90" s="11" t="s">
        <v>66</v>
      </c>
    </row>
    <row r="91" spans="12:24">
      <c r="L91" s="34" t="s">
        <v>21</v>
      </c>
      <c r="M91" s="11" t="s">
        <v>66</v>
      </c>
      <c r="W91" s="34" t="s">
        <v>21</v>
      </c>
      <c r="X91" s="11" t="s">
        <v>34</v>
      </c>
    </row>
    <row r="92" spans="12:13">
      <c r="L92" s="34" t="s">
        <v>21</v>
      </c>
      <c r="M92" s="11" t="s">
        <v>34</v>
      </c>
    </row>
    <row r="105" spans="2:2">
      <c r="B105" s="30" t="s">
        <v>55</v>
      </c>
    </row>
    <row r="129" s="28" customFormat="1"/>
    <row r="134" spans="12:12">
      <c r="L134" s="11" t="s">
        <v>67</v>
      </c>
    </row>
    <row r="135" spans="12:28">
      <c r="L135" s="34" t="s">
        <v>21</v>
      </c>
      <c r="M135" s="11" t="s">
        <v>68</v>
      </c>
      <c r="W135" s="40" t="s">
        <v>69</v>
      </c>
      <c r="X135" s="13" t="s">
        <v>70</v>
      </c>
      <c r="Y135" s="13"/>
      <c r="Z135" s="13"/>
      <c r="AA135" s="13"/>
      <c r="AB135" s="13"/>
    </row>
    <row r="136" spans="12:28">
      <c r="L136" s="11" t="s">
        <v>71</v>
      </c>
      <c r="W136" s="40" t="s">
        <v>21</v>
      </c>
      <c r="X136" s="13" t="s">
        <v>72</v>
      </c>
      <c r="Y136" s="31"/>
      <c r="Z136" s="13"/>
      <c r="AA136" s="13"/>
      <c r="AB136" s="13"/>
    </row>
    <row r="137" spans="12:28">
      <c r="L137" s="34" t="s">
        <v>21</v>
      </c>
      <c r="M137" s="11" t="s">
        <v>73</v>
      </c>
      <c r="W137" s="40" t="s">
        <v>21</v>
      </c>
      <c r="X137" s="13" t="s">
        <v>74</v>
      </c>
      <c r="Y137" s="31"/>
      <c r="Z137" s="13"/>
      <c r="AA137" s="13"/>
      <c r="AB137" s="13"/>
    </row>
    <row r="138" spans="12:28">
      <c r="L138" s="11" t="s">
        <v>75</v>
      </c>
      <c r="W138" s="40" t="s">
        <v>76</v>
      </c>
      <c r="X138" s="13" t="s">
        <v>77</v>
      </c>
      <c r="Y138" s="31"/>
      <c r="Z138" s="13"/>
      <c r="AA138" s="13"/>
      <c r="AB138" s="13"/>
    </row>
    <row r="139" spans="12:28">
      <c r="L139" s="34" t="s">
        <v>21</v>
      </c>
      <c r="M139" s="11" t="s">
        <v>78</v>
      </c>
      <c r="W139" s="40" t="s">
        <v>21</v>
      </c>
      <c r="X139" s="13" t="s">
        <v>79</v>
      </c>
      <c r="Y139" s="13"/>
      <c r="Z139" s="13"/>
      <c r="AA139" s="13"/>
      <c r="AB139" s="13"/>
    </row>
    <row r="140" spans="23:28">
      <c r="W140" s="40" t="s">
        <v>21</v>
      </c>
      <c r="X140" s="13" t="s">
        <v>80</v>
      </c>
      <c r="Y140" s="13"/>
      <c r="Z140" s="13"/>
      <c r="AA140" s="13"/>
      <c r="AB140" s="13"/>
    </row>
    <row r="141" spans="23:28">
      <c r="W141" s="40" t="s">
        <v>21</v>
      </c>
      <c r="X141" s="13" t="s">
        <v>81</v>
      </c>
      <c r="Y141" s="13"/>
      <c r="Z141" s="13"/>
      <c r="AA141" s="13"/>
      <c r="AB141" s="13"/>
    </row>
    <row r="142" spans="23:28">
      <c r="W142" s="40"/>
      <c r="X142" s="13"/>
      <c r="Y142" s="13"/>
      <c r="Z142" s="13"/>
      <c r="AA142" s="13"/>
      <c r="AB142" s="13"/>
    </row>
    <row r="143" spans="23:28">
      <c r="W143" s="13"/>
      <c r="X143" s="13"/>
      <c r="Y143" s="13"/>
      <c r="Z143" s="13"/>
      <c r="AA143" s="13"/>
      <c r="AB143" s="13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5"/>
    <col min="2" max="2" width="29.5" style="15" customWidth="1"/>
    <col min="3" max="3" width="26.4666666666667" style="15" customWidth="1"/>
    <col min="4" max="8" width="25.125" style="15" customWidth="1"/>
    <col min="9" max="9" width="18.875" style="15" customWidth="1"/>
    <col min="10" max="10" width="18.8166666666667" style="15" customWidth="1"/>
    <col min="11" max="12" width="18.9666666666667" style="15" customWidth="1"/>
    <col min="13" max="16384" width="9" style="15"/>
  </cols>
  <sheetData>
    <row r="1" s="11" customFormat="1" ht="29.25" spans="1:16383">
      <c r="A1" s="16" t="s">
        <v>82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="11" customFormat="1"/>
    <row r="3" s="11" customFormat="1" ht="22.5" spans="2:8">
      <c r="B3" s="12" t="s">
        <v>83</v>
      </c>
      <c r="C3" s="12"/>
      <c r="D3" s="12"/>
      <c r="E3" s="12"/>
      <c r="F3" s="12"/>
      <c r="G3" s="12"/>
      <c r="H3" s="12"/>
    </row>
    <row r="4" s="11" customFormat="1"/>
    <row r="5" s="11" customFormat="1" spans="2:8">
      <c r="B5" s="17" t="s">
        <v>84</v>
      </c>
      <c r="C5" s="18" t="s">
        <v>85</v>
      </c>
      <c r="D5" s="18" t="s">
        <v>86</v>
      </c>
      <c r="E5" s="18" t="s">
        <v>87</v>
      </c>
      <c r="F5" s="18" t="s">
        <v>88</v>
      </c>
      <c r="G5" s="18" t="s">
        <v>89</v>
      </c>
      <c r="H5" s="18" t="s">
        <v>90</v>
      </c>
    </row>
    <row r="6" s="11" customFormat="1" spans="2:8">
      <c r="B6" s="19" t="s">
        <v>91</v>
      </c>
      <c r="C6" s="20" t="s">
        <v>92</v>
      </c>
      <c r="D6" s="20" t="s">
        <v>92</v>
      </c>
      <c r="E6" s="20" t="s">
        <v>92</v>
      </c>
      <c r="F6" s="20" t="s">
        <v>93</v>
      </c>
      <c r="G6" s="20" t="s">
        <v>92</v>
      </c>
      <c r="H6" s="20" t="s">
        <v>92</v>
      </c>
    </row>
    <row r="7" s="11" customFormat="1" ht="30" spans="2:8">
      <c r="B7" s="21" t="s">
        <v>94</v>
      </c>
      <c r="C7" s="20">
        <v>1</v>
      </c>
      <c r="D7" s="20">
        <v>1</v>
      </c>
      <c r="E7" s="20">
        <v>1</v>
      </c>
      <c r="F7" s="20">
        <v>1</v>
      </c>
      <c r="G7" s="20">
        <v>1</v>
      </c>
      <c r="H7" s="20">
        <v>1</v>
      </c>
    </row>
    <row r="8" s="11" customFormat="1" spans="2:8">
      <c r="B8" s="19" t="s">
        <v>95</v>
      </c>
      <c r="C8" s="22"/>
      <c r="D8" s="22"/>
      <c r="E8" s="22"/>
      <c r="F8" s="22"/>
      <c r="G8" s="22"/>
      <c r="H8" s="22"/>
    </row>
    <row r="9" s="11" customFormat="1" spans="2:8">
      <c r="B9" s="17" t="s">
        <v>96</v>
      </c>
      <c r="C9" s="20"/>
      <c r="D9" s="20"/>
      <c r="E9" s="20"/>
      <c r="F9" s="20"/>
      <c r="G9" s="20"/>
      <c r="H9" s="20"/>
    </row>
    <row r="10" s="11" customFormat="1" spans="2:8">
      <c r="B10" s="23"/>
      <c r="C10" s="20"/>
      <c r="D10" s="20"/>
      <c r="E10" s="20"/>
      <c r="F10" s="20"/>
      <c r="G10" s="20"/>
      <c r="H10" s="20"/>
    </row>
    <row r="11" s="11" customFormat="1" spans="2:8">
      <c r="B11" s="23"/>
      <c r="C11" s="20"/>
      <c r="D11" s="20"/>
      <c r="E11" s="24"/>
      <c r="F11" s="24"/>
      <c r="G11" s="24"/>
      <c r="H11" s="24"/>
    </row>
    <row r="12" s="11" customFormat="1" spans="2:8">
      <c r="B12" s="23"/>
      <c r="C12" s="20"/>
      <c r="D12" s="20"/>
      <c r="E12" s="24"/>
      <c r="F12" s="24"/>
      <c r="G12" s="24"/>
      <c r="H12" s="24"/>
    </row>
    <row r="13" s="11" customFormat="1" spans="2:8">
      <c r="B13" s="25"/>
      <c r="C13" s="20"/>
      <c r="D13" s="20"/>
      <c r="E13" s="20"/>
      <c r="F13" s="20"/>
      <c r="G13" s="20"/>
      <c r="H13" s="20"/>
    </row>
    <row r="14" s="11" customFormat="1"/>
    <row r="15" s="11" customFormat="1"/>
    <row r="16" s="11" customFormat="1" spans="2:2">
      <c r="B16" s="26" t="s">
        <v>97</v>
      </c>
    </row>
    <row r="17" s="11" customFormat="1"/>
    <row r="18" s="11" customFormat="1" spans="2:7">
      <c r="B18" s="27"/>
      <c r="C18" s="15"/>
      <c r="D18" s="15"/>
      <c r="E18" s="15"/>
      <c r="F18" s="15"/>
      <c r="G18" s="15"/>
    </row>
    <row r="19" s="11" customFormat="1" spans="2:7">
      <c r="B19" s="27"/>
      <c r="C19" s="15"/>
      <c r="D19" s="15"/>
      <c r="E19" s="15"/>
      <c r="F19" s="15"/>
      <c r="G19" s="15"/>
    </row>
    <row r="20" s="11" customFormat="1" spans="3:9">
      <c r="C20" s="15"/>
      <c r="D20" s="15"/>
      <c r="E20" s="15"/>
      <c r="F20" s="15"/>
      <c r="G20" s="15"/>
      <c r="I20" s="15"/>
    </row>
    <row r="26" s="14" customFormat="1" spans="2:1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31" spans="2:2">
      <c r="B31" s="1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25" zoomScaleNormal="25" workbookViewId="0">
      <pane ySplit="1" topLeftCell="A16" activePane="bottomLeft" state="frozen"/>
      <selection/>
      <selection pane="bottomLeft" activeCell="AG78" sqref="AG78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98</v>
      </c>
    </row>
    <row r="3" ht="22.5" spans="2:7">
      <c r="B3" s="12" t="s">
        <v>99</v>
      </c>
      <c r="C3" s="12"/>
      <c r="D3" s="12"/>
      <c r="E3" s="12"/>
      <c r="F3" s="12"/>
      <c r="G3" s="12"/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 t="s">
        <v>100</v>
      </c>
      <c r="F21" s="13"/>
      <c r="G21" s="13"/>
      <c r="H21" s="13"/>
      <c r="I21" s="13"/>
      <c r="J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L40" s="13"/>
    </row>
    <row r="41" spans="1:12">
      <c r="A41" s="13"/>
      <c r="B41"/>
      <c r="C41" s="13"/>
      <c r="D41" s="13"/>
      <c r="E41" s="13"/>
      <c r="F41" s="13"/>
      <c r="G41" s="13"/>
      <c r="H41" s="13"/>
      <c r="I41" s="13"/>
      <c r="J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L69" s="13"/>
    </row>
    <row r="70" spans="2:12">
      <c r="B70" s="13"/>
      <c r="L70" s="13"/>
    </row>
    <row r="71" spans="2:12">
      <c r="B71" s="13"/>
      <c r="L71" s="13"/>
    </row>
    <row r="72" spans="2:12">
      <c r="B72" s="13"/>
      <c r="L72" s="13"/>
    </row>
    <row r="73" spans="2:12">
      <c r="B73" s="13"/>
      <c r="L73" s="13"/>
    </row>
    <row r="74" spans="2:12">
      <c r="B74" s="13"/>
      <c r="L74" s="13"/>
    </row>
    <row r="75" spans="2:12">
      <c r="B75" s="13"/>
      <c r="L75" s="13"/>
    </row>
    <row r="76" spans="2:12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K9"/>
  <sheetViews>
    <sheetView workbookViewId="0">
      <selection activeCell="H19" sqref="H19"/>
    </sheetView>
  </sheetViews>
  <sheetFormatPr defaultColWidth="9" defaultRowHeight="13.5"/>
  <cols>
    <col min="6" max="6" width="21.375" customWidth="1"/>
    <col min="7" max="7" width="18.875" customWidth="1"/>
    <col min="8" max="8" width="25.375" customWidth="1"/>
    <col min="9" max="9" width="8.875" customWidth="1"/>
    <col min="10" max="10" width="34.875" customWidth="1"/>
    <col min="11" max="11" width="12.5"/>
    <col min="12" max="12" width="34.875" customWidth="1"/>
  </cols>
  <sheetData>
    <row r="5" customFormat="1" ht="18.75" spans="3:10">
      <c r="C5" s="1" t="s">
        <v>101</v>
      </c>
      <c r="D5" s="2"/>
      <c r="E5" s="2"/>
      <c r="F5" s="2"/>
      <c r="G5" s="2"/>
      <c r="H5" s="2"/>
      <c r="I5" s="2"/>
      <c r="J5" s="7"/>
    </row>
    <row r="6" customFormat="1" spans="3:10">
      <c r="C6" s="3"/>
      <c r="D6" s="3"/>
      <c r="E6" s="3"/>
      <c r="F6" s="3"/>
      <c r="G6" s="3"/>
      <c r="H6" s="3"/>
      <c r="I6" s="3"/>
      <c r="J6" s="3"/>
    </row>
    <row r="7" customFormat="1" spans="3:10">
      <c r="C7" s="4"/>
      <c r="D7" s="4"/>
      <c r="E7" s="4"/>
      <c r="F7" s="4"/>
      <c r="G7" s="4"/>
      <c r="H7" s="4"/>
      <c r="I7" s="4"/>
      <c r="J7" s="4"/>
    </row>
    <row r="8" customFormat="1" spans="3:11">
      <c r="C8" s="4"/>
      <c r="D8" s="5" t="s">
        <v>102</v>
      </c>
      <c r="E8" s="5" t="s">
        <v>103</v>
      </c>
      <c r="F8" s="5" t="s">
        <v>104</v>
      </c>
      <c r="G8" s="5" t="s">
        <v>105</v>
      </c>
      <c r="H8" s="5" t="s">
        <v>106</v>
      </c>
      <c r="I8" s="5" t="s">
        <v>107</v>
      </c>
      <c r="J8" s="8" t="s">
        <v>108</v>
      </c>
      <c r="K8" s="9" t="s">
        <v>98</v>
      </c>
    </row>
    <row r="9" customFormat="1" ht="48" spans="3:11">
      <c r="C9" s="4"/>
      <c r="D9" s="6">
        <v>1</v>
      </c>
      <c r="E9" s="6" t="s">
        <v>109</v>
      </c>
      <c r="F9" s="6" t="s">
        <v>18</v>
      </c>
      <c r="G9" s="6" t="s">
        <v>110</v>
      </c>
      <c r="H9" s="6"/>
      <c r="I9" s="6"/>
      <c r="J9" s="6"/>
      <c r="K9" s="9" t="str">
        <f>_xlfn.DISPIMG("ID_7409108EE5CC4FBAA7633E98A10F7EE2",1)</f>
        <v>=DISPIMG("ID_7409108EE5CC4FBAA7633E98A10F7EE2",1)</v>
      </c>
    </row>
  </sheetData>
  <dataValidations count="1">
    <dataValidation type="list" allowBlank="1" showInputMessage="1" showErrorMessage="1" sqref="E5:E16 E19:E20 E22:E23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2024-05-27T08:46:00Z</dcterms:created>
  <dcterms:modified xsi:type="dcterms:W3CDTF">2024-10-12T09:44:59Z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236AF0F828E34B83912C6192F364C208_13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