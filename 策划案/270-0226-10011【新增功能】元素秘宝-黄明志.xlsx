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 firstSheet="2" activeTab="5"/>
  </bookViews>
  <sheets>
    <sheet name="日志" sheetId="5" r:id="rId1"/>
    <sheet name="设计思路" sheetId="4" r:id="rId2"/>
    <sheet name="界面&amp;功能 " sheetId="6" r:id="rId3"/>
    <sheet name="表格结构" sheetId="7" r:id="rId4"/>
    <sheet name="参考界面" sheetId="3" r:id="rId5"/>
    <sheet name="美术需求" sheetId="9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3" name="ID_8739E92135EA4588B13160C8CD63A0E7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620000" y="1676400"/>
          <a:ext cx="6496050" cy="35147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" name="ID_8DD2059512624829B3D2D6193BC92DED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229350" y="1676400"/>
          <a:ext cx="1343025" cy="11239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" name="ID_CCBDF344560840BC812F313F1255A8C8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7620000" y="7658100"/>
          <a:ext cx="1019175" cy="9525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" name="ID_CCAFAEA3A4C44A599A03759FC89AC6AE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7620000" y="8458200"/>
          <a:ext cx="981075" cy="9048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" name="ID_2A55AFBFCF7445A891D36ADED5127C4D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7620000" y="9385300"/>
          <a:ext cx="1057275" cy="9620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3" name="ID_73D94B106A6C4FE2BBBE187AD83050B8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685800" y="9983470"/>
          <a:ext cx="1295400" cy="971550"/>
        </a:xfrm>
        <a:prstGeom prst="rect">
          <a:avLst/>
        </a:prstGeom>
        <a:noFill/>
        <a:ln w="9525">
          <a:noFill/>
        </a:ln>
      </xdr:spPr>
    </xdr:pic>
  </etc:cellImage>
</etc:cellImages>
</file>

<file path=xl/sharedStrings.xml><?xml version="1.0" encoding="utf-8"?>
<sst xmlns="http://schemas.openxmlformats.org/spreadsheetml/2006/main" count="152" uniqueCount="88">
  <si>
    <t>日志</t>
  </si>
  <si>
    <t>系统名称：</t>
  </si>
  <si>
    <t>角色</t>
  </si>
  <si>
    <t>修改时间</t>
  </si>
  <si>
    <t>修改内容</t>
  </si>
  <si>
    <t>修改人</t>
  </si>
  <si>
    <t>创建策划案</t>
  </si>
  <si>
    <t>黄明志</t>
  </si>
  <si>
    <t>角色系统</t>
  </si>
  <si>
    <t>设计目的</t>
  </si>
  <si>
    <t>1.设计目的</t>
  </si>
  <si>
    <t>1.设计目的是什么</t>
  </si>
  <si>
    <r>
      <rPr>
        <sz val="11"/>
        <color theme="1"/>
        <rFont val="宋体"/>
        <charset val="134"/>
      </rPr>
      <t>▶</t>
    </r>
  </si>
  <si>
    <t>角色特色装备，给角色增加龙神元素属性伤害</t>
  </si>
  <si>
    <t>角色装备是最直观的战力体现</t>
  </si>
  <si>
    <t>2.解锁方式</t>
  </si>
  <si>
    <t>▶</t>
  </si>
  <si>
    <t>游戏中期，等级解锁</t>
  </si>
  <si>
    <t>功能入口默认开放</t>
  </si>
  <si>
    <t>内部小系统，根据设定单独开放</t>
  </si>
  <si>
    <t>秘宝系统</t>
  </si>
  <si>
    <t>功能规则</t>
  </si>
  <si>
    <t>功能入口</t>
  </si>
  <si>
    <t>角色基本规则</t>
  </si>
  <si>
    <t>1.主界面点击【人物】图标进入</t>
  </si>
  <si>
    <t>增加游戏特色系统</t>
  </si>
  <si>
    <t>2.进入本界面时，默认显示角色页签</t>
  </si>
  <si>
    <t>3.当玩家有更高阶数的装备可穿戴时，角色系统有红点提示</t>
  </si>
  <si>
    <t>2.装备概述</t>
  </si>
  <si>
    <t>装备根据龙神元素属性分为3个，每种元素属性1个</t>
  </si>
  <si>
    <t>装备分为基础属性和元素属性</t>
  </si>
  <si>
    <t>装备不限职业不限性别都可以携带</t>
  </si>
  <si>
    <t>秘宝元素和自身选择的元素不对应，则不能加成到最后的伤害计算中。</t>
  </si>
  <si>
    <t>参考图标</t>
  </si>
  <si>
    <t>装备分为不同阶数，低阶的可以往上合成</t>
  </si>
  <si>
    <t>3.秘宝特技</t>
  </si>
  <si>
    <t>秘宝主动技能，使用后自身的元素效果翻倍，持续X秒。</t>
  </si>
  <si>
    <t>秘宝装备界面【当前为示例】</t>
  </si>
  <si>
    <t>1.功能标题与功能说明</t>
  </si>
  <si>
    <t>1.元素装备</t>
  </si>
  <si>
    <t>秘宝装备栏位置，具体位置可在“元素装备”系统功能后规划</t>
  </si>
  <si>
    <t>备底框要做的特殊，和普通装备底框有明显区分度</t>
  </si>
  <si>
    <t>点击装备位上的装备图标时，弹出装备tips，tips界面右侧有切换、升阶页签按钮</t>
  </si>
  <si>
    <t>切换：打开背包，查看同类型装备</t>
  </si>
  <si>
    <t>升阶：点击打开合成功能界面</t>
  </si>
  <si>
    <t>有可替换的高级装备时或者空位有可穿戴的装备时，显示红点提示。</t>
  </si>
  <si>
    <t>元素装备：元素装备可分为光明装备，黑暗装备，混沌装备。</t>
  </si>
  <si>
    <t>秘宝属性：每一件秘宝携带一条元素属性和其他基础属性</t>
  </si>
  <si>
    <t>当穿戴秘宝装备和自身元素不对应时，提示：秘宝装备和自身元素不对应，秘宝装备元素属性无法对自身元素造成加成，是否继续穿戴。</t>
  </si>
  <si>
    <t>秘宝穿戴：装备不限制职业和性别穿戴，但只可穿戴一件装备，装备可进行卸下替换</t>
  </si>
  <si>
    <t>秘宝阶级：每种秘宝装备分为不同的阶级，低阶可向上合成。阶级仅将基础属性和元素属性做区分，技能不变</t>
  </si>
  <si>
    <t>2.秘宝特技</t>
  </si>
  <si>
    <t>秘宝主动技能，使用后自身（角色非装备）的元素效果翻倍，持续X秒。</t>
  </si>
  <si>
    <t>当穿戴秘宝装备和自身元素不对应时，秘宝技能无法释放，技能显示灰色。</t>
  </si>
  <si>
    <t>秘宝装备提示界面【当前为示例】</t>
  </si>
  <si>
    <r>
      <rPr>
        <b/>
        <sz val="20"/>
        <color rgb="FFFFFFFF"/>
        <rFont val="微软雅黑"/>
        <charset val="134"/>
      </rPr>
      <t>表结构设计</t>
    </r>
  </si>
  <si>
    <t>配置设计</t>
  </si>
  <si>
    <t>无额外表格需求</t>
  </si>
  <si>
    <t>参考图</t>
  </si>
  <si>
    <t>参考游戏</t>
  </si>
  <si>
    <t>美术需求</t>
  </si>
  <si>
    <t>UI需求</t>
  </si>
  <si>
    <t>序号</t>
  </si>
  <si>
    <t>类型</t>
  </si>
  <si>
    <t>对应界面</t>
  </si>
  <si>
    <t>内容描述</t>
  </si>
  <si>
    <t>功能需求</t>
  </si>
  <si>
    <t>备注</t>
  </si>
  <si>
    <t>UI</t>
  </si>
  <si>
    <t>秘宝装备底框</t>
  </si>
  <si>
    <t>原画需求</t>
  </si>
  <si>
    <t>无</t>
  </si>
  <si>
    <t>ICON需求</t>
  </si>
  <si>
    <t>图标需求</t>
  </si>
  <si>
    <t>尺寸需求</t>
  </si>
  <si>
    <t>ICON</t>
  </si>
  <si>
    <t>黑暗秘宝装备</t>
  </si>
  <si>
    <t>黑暗装备需求，需分1阶到10阶的黑暗秘宝装备</t>
  </si>
  <si>
    <t>光明秘宝装备</t>
  </si>
  <si>
    <t>光明装备需求，需分1阶到11阶的光明秘宝装备</t>
  </si>
  <si>
    <t>混沌秘宝装备</t>
  </si>
  <si>
    <t>混沌装备需求，需分1阶到12阶的混沌秘宝装备</t>
  </si>
  <si>
    <t>黑暗秘宝主界面技能图标</t>
  </si>
  <si>
    <t>放在主界面的技能图标</t>
  </si>
  <si>
    <t>光明秘宝主界面技能图标</t>
  </si>
  <si>
    <t>动效需求</t>
  </si>
  <si>
    <t>描述</t>
  </si>
  <si>
    <t>其他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</si>
</sst>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theme="1"/>
      <name val="宋体"/>
      <charset val="134"/>
      <scheme val="minor"/>
    </font>
    <font>
      <b/>
      <sz val="20"/>
      <color theme="0"/>
      <name val="微软雅黑"/>
      <charset val="134"/>
    </font>
    <font>
      <sz val="11"/>
      <color theme="1"/>
      <name val="微软雅黑"/>
      <charset val="134"/>
    </font>
    <font>
      <b/>
      <sz val="16"/>
      <color rgb="FFFFFFFF"/>
      <name val="微软雅黑"/>
      <charset val="134"/>
    </font>
    <font>
      <b/>
      <sz val="20"/>
      <color rgb="FFFFFFFF"/>
      <name val="微软雅黑"/>
      <charset val="134"/>
    </font>
    <font>
      <b/>
      <sz val="11"/>
      <color rgb="FFFF0000"/>
      <name val="微软雅黑"/>
      <charset val="134"/>
    </font>
    <font>
      <b/>
      <sz val="16"/>
      <color theme="0"/>
      <name val="微软雅黑"/>
      <charset val="134"/>
    </font>
    <font>
      <b/>
      <sz val="11"/>
      <color theme="1"/>
      <name val="微软雅黑"/>
      <charset val="134"/>
    </font>
    <font>
      <sz val="11"/>
      <color theme="1"/>
      <name val="宋体"/>
      <charset val="134"/>
    </font>
    <font>
      <b/>
      <sz val="16"/>
      <color theme="1"/>
      <name val="微软雅黑"/>
      <charset val="134"/>
    </font>
    <font>
      <b/>
      <sz val="2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8" borderId="5" applyNumberFormat="0" applyAlignment="0" applyProtection="0">
      <alignment vertical="center"/>
    </xf>
    <xf numFmtId="0" fontId="20" fillId="9" borderId="6" applyNumberFormat="0" applyAlignment="0" applyProtection="0">
      <alignment vertical="center"/>
    </xf>
    <xf numFmtId="0" fontId="21" fillId="9" borderId="5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1" fillId="2" borderId="0" xfId="0" applyFont="1" applyFill="1" applyAlignment="1">
      <alignment vertical="center" wrapText="1"/>
    </xf>
    <xf numFmtId="0" fontId="2" fillId="0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3" borderId="0" xfId="0" applyFont="1" applyFill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0" fillId="0" borderId="1" xfId="0" applyFill="1" applyBorder="1">
      <alignment vertical="center"/>
    </xf>
    <xf numFmtId="0" fontId="0" fillId="4" borderId="0" xfId="0" applyFill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2" fillId="0" borderId="0" xfId="0" applyFont="1" applyFill="1" applyAlignment="1">
      <alignment vertical="center"/>
    </xf>
    <xf numFmtId="0" fontId="3" fillId="3" borderId="0" xfId="0" applyFont="1" applyFill="1" applyAlignment="1">
      <alignment horizontal="left" vertical="center"/>
    </xf>
    <xf numFmtId="0" fontId="2" fillId="0" borderId="0" xfId="0" applyFo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left" vertical="center"/>
    </xf>
    <xf numFmtId="0" fontId="5" fillId="5" borderId="0" xfId="0" applyFont="1" applyFill="1" applyAlignment="1">
      <alignment vertical="center"/>
    </xf>
    <xf numFmtId="0" fontId="2" fillId="0" borderId="0" xfId="0" applyFont="1" applyFill="1" applyAlignment="1">
      <alignment horizontal="left" vertical="center"/>
    </xf>
    <xf numFmtId="0" fontId="2" fillId="2" borderId="0" xfId="0" applyFont="1" applyFill="1" applyAlignment="1">
      <alignment vertical="center"/>
    </xf>
    <xf numFmtId="0" fontId="6" fillId="2" borderId="0" xfId="0" applyFont="1" applyFill="1" applyAlignment="1">
      <alignment horizontal="left" vertical="center"/>
    </xf>
    <xf numFmtId="0" fontId="7" fillId="0" borderId="0" xfId="0" applyFont="1" applyFill="1" applyAlignment="1">
      <alignment vertical="center"/>
    </xf>
    <xf numFmtId="0" fontId="8" fillId="0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9" fillId="0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left" vertical="center"/>
    </xf>
    <xf numFmtId="0" fontId="0" fillId="0" borderId="0" xfId="0" applyFill="1" applyAlignment="1">
      <alignment vertical="center"/>
    </xf>
    <xf numFmtId="0" fontId="0" fillId="0" borderId="0" xfId="0" applyFont="1" applyFill="1" applyAlignment="1">
      <alignment horizontal="left" vertical="center"/>
    </xf>
    <xf numFmtId="0" fontId="0" fillId="0" borderId="0" xfId="0" applyFont="1" applyFill="1" applyAlignment="1">
      <alignment vertical="center"/>
    </xf>
    <xf numFmtId="0" fontId="0" fillId="6" borderId="1" xfId="0" applyFont="1" applyFill="1" applyBorder="1" applyAlignment="1">
      <alignment horizontal="left" vertical="center"/>
    </xf>
    <xf numFmtId="0" fontId="0" fillId="6" borderId="1" xfId="0" applyFont="1" applyFill="1" applyBorder="1" applyAlignment="1">
      <alignment vertical="center"/>
    </xf>
    <xf numFmtId="14" fontId="0" fillId="0" borderId="1" xfId="0" applyNumberFormat="1" applyFont="1" applyFill="1" applyBorder="1" applyAlignment="1">
      <alignment horizontal="left" vertical="center"/>
    </xf>
    <xf numFmtId="0" fontId="0" fillId="0" borderId="1" xfId="0" applyFont="1" applyFill="1" applyBorder="1" applyAlignment="1">
      <alignment vertical="center"/>
    </xf>
    <xf numFmtId="0" fontId="0" fillId="0" borderId="1" xfId="0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6" Type="http://schemas.openxmlformats.org/officeDocument/2006/relationships/image" Target="media/image9.png"/><Relationship Id="rId5" Type="http://schemas.openxmlformats.org/officeDocument/2006/relationships/image" Target="media/image8.png"/><Relationship Id="rId4" Type="http://schemas.openxmlformats.org/officeDocument/2006/relationships/image" Target="media/image7.png"/><Relationship Id="rId3" Type="http://schemas.openxmlformats.org/officeDocument/2006/relationships/image" Target="media/image6.png"/><Relationship Id="rId2" Type="http://schemas.openxmlformats.org/officeDocument/2006/relationships/image" Target="media/image5.png"/><Relationship Id="rId1" Type="http://schemas.openxmlformats.org/officeDocument/2006/relationships/image" Target="media/image4.png"/></Relationships>
</file>

<file path=xl/_rels/workbook.xml.rels><?xml version="1.0" encoding="UTF-8" standalone="yes"?>
<Relationships xmlns="http://schemas.openxmlformats.org/package/2006/relationships"><Relationship Id="rId9" Type="http://www.wps.cn/officeDocument/2020/cellImage" Target="cellimag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95250</xdr:colOff>
      <xdr:row>22</xdr:row>
      <xdr:rowOff>161925</xdr:rowOff>
    </xdr:from>
    <xdr:to>
      <xdr:col>10</xdr:col>
      <xdr:colOff>276225</xdr:colOff>
      <xdr:row>39</xdr:row>
      <xdr:rowOff>95250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81050" y="5095875"/>
          <a:ext cx="6353175" cy="34956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447675</xdr:colOff>
      <xdr:row>9</xdr:row>
      <xdr:rowOff>152400</xdr:rowOff>
    </xdr:from>
    <xdr:to>
      <xdr:col>4</xdr:col>
      <xdr:colOff>104775</xdr:colOff>
      <xdr:row>13</xdr:row>
      <xdr:rowOff>123825</xdr:rowOff>
    </xdr:to>
    <xdr:pic>
      <xdr:nvPicPr>
        <xdr:cNvPr id="2" name="图片 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819275" y="2286000"/>
          <a:ext cx="1028700" cy="809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161925</xdr:colOff>
      <xdr:row>24</xdr:row>
      <xdr:rowOff>85725</xdr:rowOff>
    </xdr:from>
    <xdr:to>
      <xdr:col>5</xdr:col>
      <xdr:colOff>143510</xdr:colOff>
      <xdr:row>27</xdr:row>
      <xdr:rowOff>19685</xdr:rowOff>
    </xdr:to>
    <xdr:sp>
      <xdr:nvSpPr>
        <xdr:cNvPr id="6" name="矩形 5"/>
        <xdr:cNvSpPr/>
      </xdr:nvSpPr>
      <xdr:spPr>
        <a:xfrm>
          <a:off x="2905125" y="5438775"/>
          <a:ext cx="667385" cy="562610"/>
        </a:xfrm>
        <a:prstGeom prst="rect">
          <a:avLst/>
        </a:prstGeom>
        <a:noFill/>
        <a:ln w="38100"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4</xdr:col>
      <xdr:colOff>495935</xdr:colOff>
      <xdr:row>19</xdr:row>
      <xdr:rowOff>161925</xdr:rowOff>
    </xdr:from>
    <xdr:to>
      <xdr:col>5</xdr:col>
      <xdr:colOff>472440</xdr:colOff>
      <xdr:row>24</xdr:row>
      <xdr:rowOff>85725</xdr:rowOff>
    </xdr:to>
    <xdr:cxnSp>
      <xdr:nvCxnSpPr>
        <xdr:cNvPr id="7" name="直接连接符 6"/>
        <xdr:cNvCxnSpPr>
          <a:stCxn id="8" idx="0"/>
          <a:endCxn id="6" idx="0"/>
        </xdr:cNvCxnSpPr>
      </xdr:nvCxnSpPr>
      <xdr:spPr>
        <a:xfrm flipH="1">
          <a:off x="3239135" y="4467225"/>
          <a:ext cx="662305" cy="971550"/>
        </a:xfrm>
        <a:prstGeom prst="line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5</xdr:col>
      <xdr:colOff>286385</xdr:colOff>
      <xdr:row>19</xdr:row>
      <xdr:rowOff>161925</xdr:rowOff>
    </xdr:from>
    <xdr:to>
      <xdr:col>5</xdr:col>
      <xdr:colOff>657860</xdr:colOff>
      <xdr:row>21</xdr:row>
      <xdr:rowOff>19050</xdr:rowOff>
    </xdr:to>
    <xdr:sp>
      <xdr:nvSpPr>
        <xdr:cNvPr id="8" name="矩形 7"/>
        <xdr:cNvSpPr/>
      </xdr:nvSpPr>
      <xdr:spPr>
        <a:xfrm>
          <a:off x="3715385" y="4467225"/>
          <a:ext cx="371475" cy="276225"/>
        </a:xfrm>
        <a:prstGeom prst="rect">
          <a:avLst/>
        </a:prstGeom>
        <a:solidFill>
          <a:schemeClr val="accent6">
            <a:lumMod val="75000"/>
          </a:schemeClr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100"/>
            <a:t>1</a:t>
          </a:r>
          <a:endParaRPr lang="zh-CN" altLang="en-US" sz="1100"/>
        </a:p>
      </xdr:txBody>
    </xdr:sp>
    <xdr:clientData/>
  </xdr:twoCellAnchor>
  <xdr:twoCellAnchor editAs="oneCell">
    <xdr:from>
      <xdr:col>2</xdr:col>
      <xdr:colOff>514350</xdr:colOff>
      <xdr:row>45</xdr:row>
      <xdr:rowOff>76200</xdr:rowOff>
    </xdr:from>
    <xdr:to>
      <xdr:col>11</xdr:col>
      <xdr:colOff>38100</xdr:colOff>
      <xdr:row>67</xdr:row>
      <xdr:rowOff>76200</xdr:rowOff>
    </xdr:to>
    <xdr:pic>
      <xdr:nvPicPr>
        <xdr:cNvPr id="9" name="图片 8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885950" y="9906000"/>
          <a:ext cx="5695950" cy="46101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25"/>
  <sheetViews>
    <sheetView workbookViewId="0">
      <pane ySplit="1" topLeftCell="A2" activePane="bottomLeft" state="frozen"/>
      <selection/>
      <selection pane="bottomLeft" activeCell="N27" sqref="N27"/>
    </sheetView>
  </sheetViews>
  <sheetFormatPr defaultColWidth="9" defaultRowHeight="13.5"/>
  <cols>
    <col min="1" max="1" width="10.375" style="26"/>
    <col min="2" max="2" width="11.5" style="26" customWidth="1"/>
    <col min="3" max="3" width="15" style="26" customWidth="1"/>
    <col min="4" max="4" width="9.75" style="26" customWidth="1"/>
    <col min="5" max="16384" width="9" style="26"/>
  </cols>
  <sheetData>
    <row r="1" ht="29.25" spans="1:22">
      <c r="A1" s="15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</row>
    <row r="3" spans="2:4">
      <c r="B3" s="27" t="s">
        <v>1</v>
      </c>
      <c r="C3" s="28" t="s">
        <v>2</v>
      </c>
      <c r="D3" s="28"/>
    </row>
    <row r="4" spans="2:4">
      <c r="B4" s="29" t="s">
        <v>3</v>
      </c>
      <c r="C4" s="30" t="s">
        <v>4</v>
      </c>
      <c r="D4" s="30" t="s">
        <v>5</v>
      </c>
    </row>
    <row r="5" spans="2:4">
      <c r="B5" s="31">
        <v>45714</v>
      </c>
      <c r="C5" s="32" t="s">
        <v>6</v>
      </c>
      <c r="D5" s="32" t="s">
        <v>7</v>
      </c>
    </row>
    <row r="6" spans="2:4">
      <c r="B6" s="31"/>
      <c r="C6" s="32"/>
      <c r="D6" s="32"/>
    </row>
    <row r="7" spans="2:4">
      <c r="B7" s="31"/>
      <c r="C7" s="32"/>
      <c r="D7" s="32"/>
    </row>
    <row r="8" spans="2:4">
      <c r="B8" s="33"/>
      <c r="C8" s="32"/>
      <c r="D8" s="32"/>
    </row>
    <row r="9" spans="2:4">
      <c r="B9" s="33"/>
      <c r="C9" s="32"/>
      <c r="D9" s="32"/>
    </row>
    <row r="10" spans="2:4">
      <c r="B10" s="33"/>
      <c r="C10" s="32"/>
      <c r="D10" s="32"/>
    </row>
    <row r="11" spans="2:4">
      <c r="B11" s="33"/>
      <c r="C11" s="32"/>
      <c r="D11" s="32"/>
    </row>
    <row r="12" spans="2:4">
      <c r="B12" s="33"/>
      <c r="C12" s="32"/>
      <c r="D12" s="32"/>
    </row>
    <row r="13" spans="2:4">
      <c r="B13" s="33"/>
      <c r="C13" s="32"/>
      <c r="D13" s="32"/>
    </row>
    <row r="14" spans="2:4">
      <c r="B14" s="33"/>
      <c r="C14" s="32"/>
      <c r="D14" s="32"/>
    </row>
    <row r="15" spans="2:4">
      <c r="B15" s="33"/>
      <c r="C15" s="32"/>
      <c r="D15" s="32"/>
    </row>
    <row r="16" spans="2:4">
      <c r="B16" s="33"/>
      <c r="C16" s="32"/>
      <c r="D16" s="32"/>
    </row>
    <row r="17" spans="2:4">
      <c r="B17" s="33"/>
      <c r="C17" s="32"/>
      <c r="D17" s="32"/>
    </row>
    <row r="18" spans="2:4">
      <c r="B18" s="33"/>
      <c r="C18" s="32"/>
      <c r="D18" s="32"/>
    </row>
    <row r="19" spans="2:4">
      <c r="B19" s="33"/>
      <c r="C19" s="32"/>
      <c r="D19" s="32"/>
    </row>
    <row r="20" spans="2:4">
      <c r="B20" s="33"/>
      <c r="C20" s="32"/>
      <c r="D20" s="32"/>
    </row>
    <row r="21" spans="2:4">
      <c r="B21" s="33"/>
      <c r="C21" s="32"/>
      <c r="D21" s="32"/>
    </row>
    <row r="22" spans="2:4">
      <c r="B22" s="33"/>
      <c r="C22" s="32"/>
      <c r="D22" s="32"/>
    </row>
    <row r="23" spans="2:4">
      <c r="B23" s="33"/>
      <c r="C23" s="32"/>
      <c r="D23" s="32"/>
    </row>
    <row r="24" spans="2:4">
      <c r="B24" s="33"/>
      <c r="C24" s="32"/>
      <c r="D24" s="32"/>
    </row>
    <row r="25" spans="2:4">
      <c r="B25" s="33"/>
      <c r="C25" s="32"/>
      <c r="D25" s="32"/>
    </row>
  </sheetData>
  <mergeCells count="1">
    <mergeCell ref="A1:V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14"/>
  <sheetViews>
    <sheetView workbookViewId="0">
      <pane ySplit="1" topLeftCell="A2" activePane="bottomLeft" state="frozen"/>
      <selection/>
      <selection pane="bottomLeft" activeCell="K12" sqref="K12"/>
    </sheetView>
  </sheetViews>
  <sheetFormatPr defaultColWidth="9" defaultRowHeight="16.5"/>
  <cols>
    <col min="1" max="16384" width="9" style="10"/>
  </cols>
  <sheetData>
    <row r="1" s="9" customFormat="1" ht="30" customHeight="1" spans="1:1">
      <c r="A1" s="9" t="s">
        <v>8</v>
      </c>
    </row>
    <row r="3" ht="22.5" spans="2:7">
      <c r="B3" s="19" t="s">
        <v>9</v>
      </c>
      <c r="C3" s="19"/>
      <c r="D3" s="19"/>
      <c r="E3" s="19"/>
      <c r="F3" s="19"/>
      <c r="G3" s="19"/>
    </row>
    <row r="5" spans="2:6">
      <c r="B5" s="10" t="s">
        <v>10</v>
      </c>
      <c r="D5" s="12"/>
      <c r="E5" s="12"/>
      <c r="F5" s="12"/>
    </row>
    <row r="6" spans="2:6">
      <c r="B6" s="10" t="s">
        <v>11</v>
      </c>
      <c r="D6" s="12"/>
      <c r="E6" s="12"/>
      <c r="F6" s="12"/>
    </row>
    <row r="7" spans="2:6">
      <c r="B7" s="14" t="s">
        <v>12</v>
      </c>
      <c r="C7" s="10" t="s">
        <v>13</v>
      </c>
      <c r="D7" s="12"/>
      <c r="E7" s="12"/>
      <c r="F7" s="12"/>
    </row>
    <row r="8" spans="2:6">
      <c r="B8" s="14" t="s">
        <v>12</v>
      </c>
      <c r="C8" s="12" t="s">
        <v>14</v>
      </c>
      <c r="D8" s="12"/>
      <c r="E8" s="12"/>
      <c r="F8" s="12"/>
    </row>
    <row r="9" spans="2:6">
      <c r="B9" s="12" t="s">
        <v>15</v>
      </c>
      <c r="C9" s="12"/>
      <c r="D9" s="12"/>
      <c r="E9" s="12"/>
      <c r="F9" s="12"/>
    </row>
    <row r="10" spans="2:6">
      <c r="B10" s="21" t="s">
        <v>16</v>
      </c>
      <c r="C10" s="12" t="s">
        <v>17</v>
      </c>
      <c r="D10" s="12"/>
      <c r="E10" s="12"/>
      <c r="F10" s="12"/>
    </row>
    <row r="11" spans="2:6">
      <c r="B11" s="12" t="s">
        <v>15</v>
      </c>
      <c r="C11" s="12"/>
      <c r="D11" s="12"/>
      <c r="E11" s="12"/>
      <c r="F11" s="12"/>
    </row>
    <row r="12" spans="2:6">
      <c r="B12" s="14" t="s">
        <v>12</v>
      </c>
      <c r="C12" s="12" t="s">
        <v>18</v>
      </c>
      <c r="D12" s="12"/>
      <c r="E12" s="12"/>
      <c r="F12" s="12"/>
    </row>
    <row r="13" spans="2:6">
      <c r="B13" s="14" t="s">
        <v>12</v>
      </c>
      <c r="C13" s="10" t="s">
        <v>19</v>
      </c>
      <c r="D13" s="12"/>
      <c r="E13" s="12"/>
      <c r="F13" s="12"/>
    </row>
    <row r="14" spans="2:6">
      <c r="B14" s="12"/>
      <c r="C14" s="12"/>
      <c r="D14" s="12"/>
      <c r="E14" s="12"/>
      <c r="F14" s="12"/>
    </row>
  </sheetData>
  <mergeCells count="2">
    <mergeCell ref="A1:X1"/>
    <mergeCell ref="B3:G3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60"/>
  <sheetViews>
    <sheetView topLeftCell="A46" workbookViewId="0">
      <selection activeCell="P64" sqref="P64"/>
    </sheetView>
  </sheetViews>
  <sheetFormatPr defaultColWidth="9" defaultRowHeight="16.5"/>
  <cols>
    <col min="1" max="20" width="9" style="10"/>
    <col min="21" max="21" width="2.05833333333333" style="18" customWidth="1"/>
    <col min="22" max="16384" width="9" style="10"/>
  </cols>
  <sheetData>
    <row r="1" s="9" customFormat="1" ht="30" customHeight="1" spans="1:38">
      <c r="A1" s="9" t="s">
        <v>20</v>
      </c>
      <c r="V1" s="9" t="s">
        <v>21</v>
      </c>
      <c r="W1" s="22"/>
      <c r="AL1" s="25"/>
    </row>
    <row r="3" ht="22.5" spans="2:23">
      <c r="B3" s="19" t="s">
        <v>22</v>
      </c>
      <c r="C3" s="19"/>
      <c r="D3" s="19"/>
      <c r="E3" s="19"/>
      <c r="F3" s="19"/>
      <c r="G3" s="19"/>
      <c r="W3" s="23" t="s">
        <v>23</v>
      </c>
    </row>
    <row r="4" spans="13:23">
      <c r="M4" s="14"/>
      <c r="W4" s="10" t="s">
        <v>11</v>
      </c>
    </row>
    <row r="5" spans="2:24">
      <c r="B5" s="10" t="s">
        <v>24</v>
      </c>
      <c r="J5"/>
      <c r="L5" s="12"/>
      <c r="M5" s="14"/>
      <c r="N5" s="12"/>
      <c r="W5" s="14" t="s">
        <v>12</v>
      </c>
      <c r="X5" s="10" t="s">
        <v>25</v>
      </c>
    </row>
    <row r="6" spans="2:24">
      <c r="B6" s="10" t="s">
        <v>26</v>
      </c>
      <c r="M6" s="12"/>
      <c r="N6" s="12"/>
      <c r="W6" s="14" t="s">
        <v>12</v>
      </c>
      <c r="X6" s="12" t="s">
        <v>14</v>
      </c>
    </row>
    <row r="7" spans="2:25">
      <c r="B7" s="10" t="s">
        <v>27</v>
      </c>
      <c r="M7" s="14"/>
      <c r="N7" s="12"/>
      <c r="W7" s="12" t="s">
        <v>28</v>
      </c>
      <c r="X7" s="12"/>
      <c r="Y7" s="12"/>
    </row>
    <row r="8" spans="13:25">
      <c r="M8" s="12"/>
      <c r="N8" s="12"/>
      <c r="W8" s="14" t="s">
        <v>12</v>
      </c>
      <c r="X8" s="12" t="s">
        <v>29</v>
      </c>
      <c r="Y8" s="12"/>
    </row>
    <row r="9" spans="12:25">
      <c r="L9" s="12"/>
      <c r="W9" s="21" t="s">
        <v>16</v>
      </c>
      <c r="X9" s="12" t="s">
        <v>30</v>
      </c>
      <c r="Y9" s="12"/>
    </row>
    <row r="10" spans="12:25">
      <c r="L10" s="14"/>
      <c r="W10" s="21" t="s">
        <v>16</v>
      </c>
      <c r="X10" s="12" t="s">
        <v>31</v>
      </c>
      <c r="Y10" s="12"/>
    </row>
    <row r="11" spans="12:25">
      <c r="L11" s="14"/>
      <c r="W11" s="21" t="s">
        <v>16</v>
      </c>
      <c r="X11" s="12" t="s">
        <v>32</v>
      </c>
      <c r="Y11" s="12"/>
    </row>
    <row r="12" spans="2:25">
      <c r="B12" s="10" t="s">
        <v>33</v>
      </c>
      <c r="L12" s="12"/>
      <c r="W12" s="21" t="s">
        <v>16</v>
      </c>
      <c r="X12" s="12" t="s">
        <v>34</v>
      </c>
      <c r="Y12" s="12"/>
    </row>
    <row r="13" spans="12:24">
      <c r="L13" s="14"/>
      <c r="W13" s="12" t="s">
        <v>35</v>
      </c>
      <c r="X13" s="12"/>
    </row>
    <row r="14" spans="23:24">
      <c r="W14" s="14" t="s">
        <v>12</v>
      </c>
      <c r="X14" s="12" t="s">
        <v>36</v>
      </c>
    </row>
    <row r="15" spans="23:24">
      <c r="W15" s="14"/>
      <c r="X15" s="12"/>
    </row>
    <row r="16" spans="23:25">
      <c r="W16" s="14"/>
      <c r="X16" s="12"/>
      <c r="Y16" s="12"/>
    </row>
    <row r="17" spans="25:25">
      <c r="Y17" s="12"/>
    </row>
    <row r="18" s="18" customFormat="1" ht="22.5" spans="2:23">
      <c r="B18" s="19" t="s">
        <v>37</v>
      </c>
      <c r="C18" s="19"/>
      <c r="D18" s="19"/>
      <c r="E18" s="19"/>
      <c r="F18" s="19"/>
      <c r="G18" s="19"/>
      <c r="W18" s="24"/>
    </row>
    <row r="19" spans="23:23">
      <c r="W19" s="14"/>
    </row>
    <row r="20" spans="12:23">
      <c r="L20" s="10" t="s">
        <v>38</v>
      </c>
      <c r="T20"/>
      <c r="W20" s="10" t="s">
        <v>39</v>
      </c>
    </row>
    <row r="21" spans="12:24">
      <c r="L21" s="21" t="s">
        <v>16</v>
      </c>
      <c r="M21" s="10" t="s">
        <v>40</v>
      </c>
      <c r="W21" s="21" t="s">
        <v>16</v>
      </c>
      <c r="X21" s="10" t="s">
        <v>41</v>
      </c>
    </row>
    <row r="22" spans="11:24">
      <c r="K22"/>
      <c r="L22" s="21" t="s">
        <v>16</v>
      </c>
      <c r="M22" s="10" t="s">
        <v>41</v>
      </c>
      <c r="W22" s="21" t="s">
        <v>16</v>
      </c>
      <c r="X22" s="10" t="s">
        <v>42</v>
      </c>
    </row>
    <row r="23" spans="12:24">
      <c r="L23" s="21" t="s">
        <v>16</v>
      </c>
      <c r="M23" s="10" t="s">
        <v>42</v>
      </c>
      <c r="X23" s="10" t="s">
        <v>43</v>
      </c>
    </row>
    <row r="24" spans="12:26">
      <c r="L24" s="21"/>
      <c r="O24"/>
      <c r="X24" s="10" t="s">
        <v>44</v>
      </c>
      <c r="Z24"/>
    </row>
    <row r="25" spans="19:24">
      <c r="S25"/>
      <c r="W25" s="21" t="s">
        <v>16</v>
      </c>
      <c r="X25" s="10" t="s">
        <v>45</v>
      </c>
    </row>
    <row r="26" spans="23:24">
      <c r="W26" s="21" t="s">
        <v>16</v>
      </c>
      <c r="X26" s="10" t="s">
        <v>46</v>
      </c>
    </row>
    <row r="27" spans="12:29">
      <c r="L27" s="21"/>
      <c r="R27"/>
      <c r="W27" s="21" t="s">
        <v>16</v>
      </c>
      <c r="X27" s="10" t="s">
        <v>47</v>
      </c>
      <c r="AC27"/>
    </row>
    <row r="28" spans="23:24">
      <c r="W28" s="21"/>
      <c r="X28" s="12" t="s">
        <v>32</v>
      </c>
    </row>
    <row r="29" spans="12:24">
      <c r="L29" s="21"/>
      <c r="X29" s="10" t="s">
        <v>48</v>
      </c>
    </row>
    <row r="30" spans="12:24">
      <c r="L30" s="21"/>
      <c r="W30" s="21" t="s">
        <v>16</v>
      </c>
      <c r="X30" s="10" t="s">
        <v>49</v>
      </c>
    </row>
    <row r="31" spans="12:24">
      <c r="L31" s="21"/>
      <c r="W31" s="21" t="s">
        <v>16</v>
      </c>
      <c r="X31" s="10" t="s">
        <v>50</v>
      </c>
    </row>
    <row r="33" spans="12:12">
      <c r="L33" s="21"/>
    </row>
    <row r="34" spans="12:24">
      <c r="L34" s="21"/>
      <c r="W34" s="12" t="s">
        <v>51</v>
      </c>
      <c r="X34" s="12"/>
    </row>
    <row r="35" spans="15:24">
      <c r="O35"/>
      <c r="W35" s="14" t="s">
        <v>12</v>
      </c>
      <c r="X35" s="12" t="s">
        <v>52</v>
      </c>
    </row>
    <row r="36" spans="12:24">
      <c r="L36" s="21"/>
      <c r="W36" s="14" t="s">
        <v>12</v>
      </c>
      <c r="X36" s="10" t="s">
        <v>53</v>
      </c>
    </row>
    <row r="37" spans="12:23">
      <c r="L37" s="21"/>
      <c r="W37" s="21"/>
    </row>
    <row r="38" spans="23:23">
      <c r="W38" s="21"/>
    </row>
    <row r="39" spans="12:12">
      <c r="L39" s="21"/>
    </row>
    <row r="40" spans="17:28">
      <c r="Q40"/>
      <c r="AB40"/>
    </row>
    <row r="41" spans="2:12">
      <c r="B41" s="20"/>
      <c r="L41" s="21"/>
    </row>
    <row r="42" ht="22.5" spans="4:23">
      <c r="D42" s="19" t="s">
        <v>54</v>
      </c>
      <c r="E42" s="19"/>
      <c r="F42" s="19"/>
      <c r="G42" s="19"/>
      <c r="H42" s="19"/>
      <c r="I42" s="19"/>
      <c r="L42" s="21"/>
      <c r="W42" s="21"/>
    </row>
    <row r="43" spans="12:12">
      <c r="L43" s="21"/>
    </row>
    <row r="44" spans="23:23">
      <c r="W44" s="21"/>
    </row>
    <row r="45" spans="12:23">
      <c r="L45" s="21"/>
      <c r="W45" s="21"/>
    </row>
    <row r="46" spans="19:23">
      <c r="S46"/>
      <c r="W46" s="21"/>
    </row>
    <row r="47" spans="17:29">
      <c r="Q47"/>
      <c r="R47"/>
      <c r="AB47"/>
      <c r="AC47"/>
    </row>
    <row r="48" spans="23:23">
      <c r="W48" s="21"/>
    </row>
    <row r="51" spans="12:12">
      <c r="L51" s="21"/>
    </row>
    <row r="52" spans="23:23">
      <c r="W52" s="21"/>
    </row>
    <row r="59" spans="2:12">
      <c r="B59"/>
      <c r="J59"/>
      <c r="L59" s="21"/>
    </row>
    <row r="60" spans="2:12">
      <c r="B60"/>
      <c r="L60" s="21"/>
    </row>
  </sheetData>
  <mergeCells count="3">
    <mergeCell ref="B3:G3"/>
    <mergeCell ref="B18:G18"/>
    <mergeCell ref="D42:I42"/>
  </mergeCells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0"/>
  <sheetViews>
    <sheetView workbookViewId="0">
      <pane ySplit="1" topLeftCell="A2" activePane="bottomLeft" state="frozen"/>
      <selection/>
      <selection pane="bottomLeft" activeCell="F16" sqref="F16"/>
    </sheetView>
  </sheetViews>
  <sheetFormatPr defaultColWidth="9" defaultRowHeight="16.5"/>
  <cols>
    <col min="1" max="1" width="9" style="14"/>
    <col min="2" max="2" width="29.5" style="14" customWidth="1"/>
    <col min="3" max="3" width="26.4666666666667" style="14" customWidth="1"/>
    <col min="4" max="8" width="25.125" style="14" customWidth="1"/>
    <col min="9" max="9" width="18.875" style="14" customWidth="1"/>
    <col min="10" max="16384" width="9" style="14"/>
  </cols>
  <sheetData>
    <row r="1" s="10" customFormat="1" ht="29.25" spans="1:9">
      <c r="A1" s="15" t="s">
        <v>55</v>
      </c>
      <c r="B1" s="15"/>
      <c r="C1" s="15"/>
      <c r="D1" s="15"/>
      <c r="E1" s="15"/>
      <c r="F1" s="15"/>
      <c r="G1" s="15"/>
      <c r="H1" s="15"/>
      <c r="I1" s="15"/>
    </row>
    <row r="2" s="10" customFormat="1"/>
    <row r="3" s="10" customFormat="1" ht="22.5" spans="2:8">
      <c r="B3" s="11" t="s">
        <v>56</v>
      </c>
      <c r="C3" s="11"/>
      <c r="D3" s="11"/>
      <c r="E3" s="11"/>
      <c r="F3" s="11"/>
      <c r="G3" s="11"/>
      <c r="H3" s="11"/>
    </row>
    <row r="4" s="10" customFormat="1"/>
    <row r="5" s="10" customFormat="1" spans="2:2">
      <c r="B5" s="16" t="s">
        <v>57</v>
      </c>
    </row>
    <row r="6" s="10" customFormat="1"/>
    <row r="7" s="10" customFormat="1" spans="2:7">
      <c r="B7" s="17"/>
      <c r="C7" s="14"/>
      <c r="D7" s="14"/>
      <c r="E7" s="14"/>
      <c r="F7" s="14"/>
      <c r="G7" s="14"/>
    </row>
    <row r="8" s="10" customFormat="1" spans="2:7">
      <c r="B8" s="17"/>
      <c r="C8" s="14"/>
      <c r="D8" s="14"/>
      <c r="E8" s="14"/>
      <c r="F8" s="14"/>
      <c r="G8" s="14"/>
    </row>
    <row r="9" s="10" customFormat="1" spans="3:9">
      <c r="C9" s="14"/>
      <c r="D9" s="14"/>
      <c r="E9" s="14"/>
      <c r="F9" s="14"/>
      <c r="G9" s="14"/>
      <c r="I9" s="14"/>
    </row>
    <row r="15" s="13" customFormat="1" spans="2:9">
      <c r="B15" s="14"/>
      <c r="C15" s="14"/>
      <c r="D15" s="14"/>
      <c r="E15" s="14"/>
      <c r="F15" s="14"/>
      <c r="G15" s="14"/>
      <c r="H15" s="14"/>
      <c r="I15" s="14"/>
    </row>
    <row r="20" spans="2:2">
      <c r="B20" s="10"/>
    </row>
  </sheetData>
  <mergeCells count="2">
    <mergeCell ref="A1:I1"/>
    <mergeCell ref="B3:H3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64"/>
  <sheetViews>
    <sheetView workbookViewId="0">
      <pane ySplit="1" topLeftCell="A2" activePane="bottomLeft" state="frozen"/>
      <selection/>
      <selection pane="bottomLeft" activeCell="K22" sqref="K22"/>
    </sheetView>
  </sheetViews>
  <sheetFormatPr defaultColWidth="9" defaultRowHeight="16.5"/>
  <cols>
    <col min="1" max="16384" width="9" style="10"/>
  </cols>
  <sheetData>
    <row r="1" s="9" customFormat="1" ht="30" customHeight="1" spans="1:1">
      <c r="A1" s="9" t="s">
        <v>58</v>
      </c>
    </row>
    <row r="3" ht="22.5" spans="2:7">
      <c r="B3" s="11" t="s">
        <v>59</v>
      </c>
      <c r="C3" s="11"/>
      <c r="D3" s="11"/>
      <c r="E3" s="11"/>
      <c r="F3" s="11"/>
      <c r="G3" s="11"/>
    </row>
    <row r="4" spans="1:10">
      <c r="A4" s="12"/>
      <c r="B4" s="12"/>
      <c r="C4" s="12"/>
      <c r="D4" s="12"/>
      <c r="E4" s="12"/>
      <c r="F4" s="12"/>
      <c r="G4" s="12"/>
      <c r="H4" s="12"/>
      <c r="I4" s="12"/>
      <c r="J4" s="12"/>
    </row>
    <row r="5" spans="1:11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</row>
    <row r="6" spans="1:11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</row>
    <row r="7" spans="1:11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</row>
    <row r="8" spans="1:11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</row>
    <row r="9" spans="1:11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</row>
    <row r="10" spans="1:11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</row>
    <row r="11" spans="1:11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</row>
    <row r="12" spans="1:11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</row>
    <row r="13" spans="1:11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</row>
    <row r="14" spans="1:11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</row>
    <row r="15" spans="1:11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</row>
    <row r="16" spans="1:11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</row>
    <row r="17" spans="1:11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</row>
    <row r="18" spans="1:11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</row>
    <row r="19" spans="1:11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</row>
    <row r="20" spans="1:11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</row>
    <row r="21" spans="1:12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</row>
    <row r="22" spans="1:12">
      <c r="A22" s="12"/>
      <c r="B22" s="12"/>
      <c r="C22" s="12"/>
      <c r="D22" s="12"/>
      <c r="F22" s="12"/>
      <c r="G22" s="12"/>
      <c r="H22" s="12"/>
      <c r="I22" s="12"/>
      <c r="J22" s="12"/>
      <c r="K22" s="12"/>
      <c r="L22" s="12"/>
    </row>
    <row r="23" spans="1:12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</row>
    <row r="24" spans="1:12">
      <c r="A24" s="12"/>
      <c r="B24" s="12"/>
      <c r="H24" s="12"/>
      <c r="I24" s="12"/>
      <c r="J24" s="12"/>
      <c r="K24" s="12"/>
      <c r="L24" s="12"/>
    </row>
    <row r="25" spans="1:12">
      <c r="A25" s="12"/>
      <c r="B25" s="12"/>
      <c r="H25" s="12"/>
      <c r="I25" s="12"/>
      <c r="J25" s="12"/>
      <c r="K25" s="12"/>
      <c r="L25" s="12"/>
    </row>
    <row r="26" spans="1:12">
      <c r="A26" s="12"/>
      <c r="B26" s="12"/>
      <c r="H26" s="12"/>
      <c r="I26" s="12"/>
      <c r="J26" s="12"/>
      <c r="K26" s="12"/>
      <c r="L26" s="12"/>
    </row>
    <row r="27" spans="1:12">
      <c r="A27" s="12"/>
      <c r="B27" s="12"/>
      <c r="H27" s="12"/>
      <c r="I27" s="12"/>
      <c r="J27" s="12"/>
      <c r="K27" s="12"/>
      <c r="L27" s="12"/>
    </row>
    <row r="28" spans="1:12">
      <c r="A28" s="12"/>
      <c r="B28" s="12"/>
      <c r="H28" s="12"/>
      <c r="I28" s="12"/>
      <c r="J28" s="12"/>
      <c r="K28" s="12"/>
      <c r="L28" s="12"/>
    </row>
    <row r="29" spans="1:12">
      <c r="A29" s="12"/>
      <c r="B29" s="12"/>
      <c r="H29" s="12"/>
      <c r="I29" s="12"/>
      <c r="J29" s="12"/>
      <c r="K29" s="12"/>
      <c r="L29" s="12"/>
    </row>
    <row r="30" spans="1:12">
      <c r="A30" s="12"/>
      <c r="B30" s="12"/>
      <c r="H30" s="12"/>
      <c r="I30" s="12"/>
      <c r="J30" s="12"/>
      <c r="K30" s="12"/>
      <c r="L30" s="12"/>
    </row>
    <row r="31" spans="1:12">
      <c r="A31" s="12"/>
      <c r="B31" s="12"/>
      <c r="H31" s="12"/>
      <c r="I31" s="12"/>
      <c r="J31" s="12"/>
      <c r="K31" s="12"/>
      <c r="L31" s="12"/>
    </row>
    <row r="32" spans="1:12">
      <c r="A32" s="12"/>
      <c r="B32" s="12"/>
      <c r="H32" s="12"/>
      <c r="I32" s="12"/>
      <c r="J32" s="12"/>
      <c r="K32" s="12"/>
      <c r="L32" s="12"/>
    </row>
    <row r="33" spans="1:12">
      <c r="A33" s="12"/>
      <c r="B33" s="12"/>
      <c r="H33" s="12"/>
      <c r="I33" s="12"/>
      <c r="J33" s="12"/>
      <c r="K33" s="12"/>
      <c r="L33" s="12"/>
    </row>
    <row r="34" spans="1:12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</row>
    <row r="35" spans="1:12">
      <c r="A35" s="12"/>
      <c r="B35" s="12"/>
      <c r="C35" s="12"/>
      <c r="D35" s="12"/>
      <c r="E35" s="12"/>
      <c r="F35" s="12"/>
      <c r="G35" s="12"/>
      <c r="H35" s="12"/>
      <c r="I35" s="12"/>
      <c r="J35" s="12"/>
      <c r="L35" s="12"/>
    </row>
    <row r="36" spans="1:12">
      <c r="A36" s="12"/>
      <c r="B36" s="12"/>
      <c r="C36" s="12"/>
      <c r="D36" s="12"/>
      <c r="E36" s="12"/>
      <c r="F36" s="12"/>
      <c r="G36" s="12"/>
      <c r="H36" s="12"/>
      <c r="I36" s="12"/>
      <c r="J36" s="12"/>
      <c r="L36" s="12"/>
    </row>
    <row r="37" spans="1:12">
      <c r="A37" s="12"/>
      <c r="B37" s="12"/>
      <c r="C37" s="12"/>
      <c r="D37" s="12"/>
      <c r="E37" s="12"/>
      <c r="F37" s="12"/>
      <c r="G37" s="12"/>
      <c r="H37" s="12"/>
      <c r="I37" s="12"/>
      <c r="J37" s="12"/>
      <c r="L37" s="12"/>
    </row>
    <row r="38" spans="1:12">
      <c r="A38" s="12"/>
      <c r="B38" s="12"/>
      <c r="C38" s="12"/>
      <c r="D38" s="12"/>
      <c r="E38" s="12"/>
      <c r="F38" s="12"/>
      <c r="G38" s="12"/>
      <c r="H38" s="12"/>
      <c r="I38" s="12"/>
      <c r="L38" s="12"/>
    </row>
    <row r="39" spans="1:12">
      <c r="A39" s="12"/>
      <c r="B39" s="12"/>
      <c r="C39" s="12"/>
      <c r="D39" s="12"/>
      <c r="E39" s="12"/>
      <c r="F39" s="12"/>
      <c r="G39" s="12"/>
      <c r="H39" s="12"/>
      <c r="I39" s="12"/>
      <c r="L39" s="12"/>
    </row>
    <row r="40" spans="1:12">
      <c r="A40" s="12"/>
      <c r="B40" s="12"/>
      <c r="C40" s="12"/>
      <c r="D40" s="12"/>
      <c r="E40" s="12"/>
      <c r="F40" s="12"/>
      <c r="G40" s="12"/>
      <c r="H40" s="12"/>
      <c r="I40" s="12"/>
      <c r="L40" s="12"/>
    </row>
    <row r="41" spans="1:12">
      <c r="A41" s="12"/>
      <c r="B41" s="12"/>
      <c r="C41" s="12"/>
      <c r="D41" s="12"/>
      <c r="E41" s="12"/>
      <c r="F41" s="12"/>
      <c r="G41" s="12"/>
      <c r="H41" s="12"/>
      <c r="I41" s="12"/>
      <c r="L41" s="12"/>
    </row>
    <row r="42" spans="1:12">
      <c r="A42" s="12"/>
      <c r="B42" s="12"/>
      <c r="C42" s="12"/>
      <c r="D42" s="12"/>
      <c r="E42" s="12"/>
      <c r="F42" s="12"/>
      <c r="G42" s="12"/>
      <c r="H42" s="12"/>
      <c r="I42" s="12"/>
      <c r="L42" s="12"/>
    </row>
    <row r="43" spans="1:12">
      <c r="A43" s="12"/>
      <c r="B43" s="12"/>
      <c r="C43" s="12"/>
      <c r="D43" s="12"/>
      <c r="E43" s="12"/>
      <c r="F43" s="12"/>
      <c r="G43" s="12"/>
      <c r="H43" s="12"/>
      <c r="I43" s="12"/>
      <c r="L43" s="12"/>
    </row>
    <row r="44" spans="2:12">
      <c r="B44" s="12"/>
      <c r="L44" s="12"/>
    </row>
    <row r="45" spans="2:12">
      <c r="B45" s="12"/>
      <c r="L45" s="12"/>
    </row>
    <row r="46" spans="2:12">
      <c r="B46" s="12"/>
      <c r="L46" s="12"/>
    </row>
    <row r="47" spans="2:12">
      <c r="B47" s="12"/>
      <c r="L47" s="12"/>
    </row>
    <row r="48" spans="2:12">
      <c r="B48" s="12"/>
      <c r="L48" s="12"/>
    </row>
    <row r="49" spans="2:12">
      <c r="B49" s="12"/>
      <c r="L49" s="12"/>
    </row>
    <row r="50" spans="2:12"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</row>
    <row r="52" spans="5:5">
      <c r="E52" s="12"/>
    </row>
    <row r="55" spans="4:6">
      <c r="D55" s="12"/>
      <c r="E55" s="12"/>
      <c r="F55" s="12"/>
    </row>
    <row r="56" spans="4:6">
      <c r="D56" s="12"/>
      <c r="E56" s="12"/>
      <c r="F56" s="12"/>
    </row>
    <row r="57" spans="4:6">
      <c r="D57" s="12"/>
      <c r="E57" s="12"/>
      <c r="F57" s="12"/>
    </row>
    <row r="58" spans="4:6">
      <c r="D58" s="12"/>
      <c r="E58" s="12"/>
      <c r="F58" s="12"/>
    </row>
    <row r="59" spans="4:6">
      <c r="D59" s="12"/>
      <c r="E59" s="12"/>
      <c r="F59" s="12"/>
    </row>
    <row r="60" spans="4:6">
      <c r="D60" s="12"/>
      <c r="E60" s="12"/>
      <c r="F60" s="12"/>
    </row>
    <row r="61" spans="4:6">
      <c r="D61" s="12"/>
      <c r="E61" s="12"/>
      <c r="F61" s="12"/>
    </row>
    <row r="62" spans="4:6">
      <c r="D62" s="12"/>
      <c r="E62" s="12"/>
      <c r="F62" s="12"/>
    </row>
    <row r="63" spans="4:6">
      <c r="D63" s="12"/>
      <c r="E63" s="12"/>
      <c r="F63" s="12"/>
    </row>
    <row r="64" spans="4:6">
      <c r="D64" s="12"/>
      <c r="E64" s="12"/>
      <c r="F64" s="12"/>
    </row>
  </sheetData>
  <mergeCells count="2">
    <mergeCell ref="A1:X1"/>
    <mergeCell ref="B3:G3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3"/>
  <sheetViews>
    <sheetView tabSelected="1" topLeftCell="A16" workbookViewId="0">
      <selection activeCell="G22" sqref="G22"/>
    </sheetView>
  </sheetViews>
  <sheetFormatPr defaultColWidth="9" defaultRowHeight="16.5"/>
  <cols>
    <col min="1" max="3" width="9" style="3"/>
    <col min="4" max="8" width="18.25" style="3" customWidth="1"/>
    <col min="9" max="16384" width="9" style="3"/>
  </cols>
  <sheetData>
    <row r="1" s="1" customFormat="1" ht="30" customHeight="1" spans="1:1">
      <c r="A1" s="1" t="s">
        <v>60</v>
      </c>
    </row>
    <row r="3" ht="22.5" spans="2:8">
      <c r="B3" s="4" t="s">
        <v>61</v>
      </c>
      <c r="C3" s="4"/>
      <c r="D3" s="4"/>
      <c r="E3" s="4"/>
      <c r="F3" s="4"/>
      <c r="G3" s="4"/>
      <c r="H3" s="4"/>
    </row>
    <row r="4" ht="63" customHeight="1" spans="2:19">
      <c r="B4" s="5" t="s">
        <v>62</v>
      </c>
      <c r="C4" s="5" t="s">
        <v>63</v>
      </c>
      <c r="D4" s="5" t="s">
        <v>64</v>
      </c>
      <c r="E4" s="5" t="s">
        <v>65</v>
      </c>
      <c r="F4" s="6" t="s">
        <v>66</v>
      </c>
      <c r="G4" s="6" t="s">
        <v>67</v>
      </c>
      <c r="H4" s="6" t="s">
        <v>58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 ht="63" customHeight="1" spans="2:19">
      <c r="B5" s="5">
        <v>1</v>
      </c>
      <c r="C5" s="5" t="s">
        <v>68</v>
      </c>
      <c r="D5" s="5" t="s">
        <v>69</v>
      </c>
      <c r="E5" s="5"/>
      <c r="F5" s="5"/>
      <c r="G5" s="6" t="str">
        <f>_xlfn.DISPIMG("ID_8DD2059512624829B3D2D6193BC92DED",1)</f>
        <v>=DISPIMG("ID_8DD2059512624829B3D2D6193BC92DED",1)</v>
      </c>
      <c r="H5" s="6" t="str">
        <f>_xlfn.DISPIMG("ID_8739E92135EA4588B13160C8CD63A0E7",1)</f>
        <v>=DISPIMG("ID_8739E92135EA4588B13160C8CD63A0E7",1)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</row>
    <row r="6" ht="63" customHeight="1" spans="2:19">
      <c r="B6" s="5">
        <v>2</v>
      </c>
      <c r="C6" s="5" t="s">
        <v>68</v>
      </c>
      <c r="D6" s="5"/>
      <c r="E6" s="5"/>
      <c r="F6" s="5"/>
      <c r="G6" s="6"/>
      <c r="H6" s="7"/>
      <c r="I6" s="2"/>
      <c r="J6" s="2"/>
      <c r="K6" s="2"/>
      <c r="L6" s="2"/>
      <c r="M6" s="2"/>
      <c r="N6" s="2"/>
      <c r="O6" s="2"/>
      <c r="P6" s="2"/>
      <c r="Q6" s="2"/>
      <c r="R6" s="2"/>
      <c r="S6" s="2"/>
    </row>
    <row r="7" ht="63" customHeight="1" spans="7:19"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</row>
    <row r="8" ht="24" customHeight="1" spans="7:19"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</row>
    <row r="9" ht="22.5" spans="2:19">
      <c r="B9" s="4" t="s">
        <v>70</v>
      </c>
      <c r="C9" s="4"/>
      <c r="D9" s="4"/>
      <c r="E9" s="4"/>
      <c r="F9" s="4"/>
      <c r="G9" s="4"/>
      <c r="H9" s="4"/>
      <c r="I9" s="2"/>
      <c r="J9" s="2"/>
      <c r="K9" s="2"/>
      <c r="L9" s="2"/>
      <c r="M9" s="2"/>
      <c r="N9" s="2"/>
      <c r="O9" s="2"/>
      <c r="P9" s="2"/>
      <c r="Q9" s="2"/>
      <c r="R9" s="2"/>
      <c r="S9" s="2"/>
    </row>
    <row r="10" ht="63" customHeight="1" spans="2:19">
      <c r="B10" s="5" t="s">
        <v>62</v>
      </c>
      <c r="C10" s="5" t="s">
        <v>63</v>
      </c>
      <c r="D10" s="5" t="s">
        <v>64</v>
      </c>
      <c r="E10" s="5" t="s">
        <v>65</v>
      </c>
      <c r="F10" s="6" t="s">
        <v>66</v>
      </c>
      <c r="G10" s="6" t="s">
        <v>67</v>
      </c>
      <c r="H10" s="6" t="s">
        <v>58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</row>
    <row r="11" ht="63" customHeight="1" spans="2:19">
      <c r="B11" s="5" t="s">
        <v>71</v>
      </c>
      <c r="C11" s="5"/>
      <c r="D11" s="5"/>
      <c r="E11" s="5"/>
      <c r="F11" s="5"/>
      <c r="G11" s="5"/>
      <c r="H11" s="5"/>
      <c r="L11" s="2"/>
      <c r="M11" s="2"/>
      <c r="N11" s="2"/>
      <c r="O11" s="2"/>
      <c r="P11" s="2"/>
      <c r="Q11" s="2"/>
      <c r="R11" s="2"/>
      <c r="S11" s="2"/>
    </row>
    <row r="12" ht="24" customHeight="1" spans="7:19"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</row>
    <row r="13" ht="22.5" spans="2:8">
      <c r="B13" s="4" t="s">
        <v>72</v>
      </c>
      <c r="C13" s="4"/>
      <c r="D13" s="4"/>
      <c r="E13" s="4"/>
      <c r="F13" s="4"/>
      <c r="G13" s="4"/>
      <c r="H13" s="4"/>
    </row>
    <row r="14" ht="63" customHeight="1" spans="2:19">
      <c r="B14" s="5" t="s">
        <v>62</v>
      </c>
      <c r="C14" s="5" t="s">
        <v>63</v>
      </c>
      <c r="D14" s="5" t="s">
        <v>73</v>
      </c>
      <c r="E14" s="5" t="s">
        <v>65</v>
      </c>
      <c r="F14" s="6" t="s">
        <v>66</v>
      </c>
      <c r="G14" s="6" t="s">
        <v>74</v>
      </c>
      <c r="H14" s="6" t="s">
        <v>58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</row>
    <row r="15" ht="63" customHeight="1" spans="2:19">
      <c r="B15" s="5">
        <v>1</v>
      </c>
      <c r="C15" s="5" t="s">
        <v>75</v>
      </c>
      <c r="D15" s="5" t="s">
        <v>76</v>
      </c>
      <c r="E15" s="5" t="s">
        <v>77</v>
      </c>
      <c r="F15" s="5"/>
      <c r="G15" s="5"/>
      <c r="H15" s="5" t="str">
        <f>_xlfn.DISPIMG("ID_CCBDF344560840BC812F313F1255A8C8",1)</f>
        <v>=DISPIMG("ID_CCBDF344560840BC812F313F1255A8C8",1)</v>
      </c>
      <c r="L15" s="2"/>
      <c r="M15" s="2"/>
      <c r="N15" s="2"/>
      <c r="O15" s="2"/>
      <c r="P15" s="2"/>
      <c r="Q15" s="2"/>
      <c r="R15" s="2"/>
      <c r="S15" s="2"/>
    </row>
    <row r="16" ht="73" customHeight="1" spans="2:19">
      <c r="B16" s="5">
        <v>2</v>
      </c>
      <c r="C16" s="5" t="s">
        <v>75</v>
      </c>
      <c r="D16" s="5" t="s">
        <v>78</v>
      </c>
      <c r="E16" s="5" t="s">
        <v>79</v>
      </c>
      <c r="F16" s="5"/>
      <c r="G16" s="5"/>
      <c r="H16" s="5" t="str">
        <f>_xlfn.DISPIMG("ID_CCAFAEA3A4C44A599A03759FC89AC6AE",1)</f>
        <v>=DISPIMG("ID_CCAFAEA3A4C44A599A03759FC89AC6AE",1)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</row>
    <row r="17" ht="99.8" spans="2:8">
      <c r="B17" s="5">
        <v>3</v>
      </c>
      <c r="C17" s="5" t="s">
        <v>75</v>
      </c>
      <c r="D17" s="5" t="s">
        <v>80</v>
      </c>
      <c r="E17" s="5" t="s">
        <v>81</v>
      </c>
      <c r="F17" s="5"/>
      <c r="G17" s="5"/>
      <c r="H17" s="5" t="str">
        <f>_xlfn.DISPIMG("ID_2A55AFBFCF7445A891D36ADED5127C4D",1)</f>
        <v>=DISPIMG("ID_2A55AFBFCF7445A891D36ADED5127C4D",1)</v>
      </c>
    </row>
    <row r="18" ht="63" customHeight="1" spans="2:19">
      <c r="B18" s="5">
        <v>4</v>
      </c>
      <c r="C18" s="5" t="s">
        <v>75</v>
      </c>
      <c r="D18" s="5" t="s">
        <v>82</v>
      </c>
      <c r="E18" s="5" t="s">
        <v>83</v>
      </c>
      <c r="F18" s="5"/>
      <c r="G18" s="5"/>
      <c r="H18" s="8" t="str">
        <f t="shared" ref="H18:H20" si="0">_xlfn.DISPIMG("ID_73D94B106A6C4FE2BBBE187AD83050B8",1)</f>
        <v>=DISPIMG("ID_73D94B106A6C4FE2BBBE187AD83050B8",1)</v>
      </c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</row>
    <row r="19" s="2" customFormat="1" ht="63" customHeight="1" spans="2:8">
      <c r="B19" s="5">
        <v>5</v>
      </c>
      <c r="C19" s="5" t="s">
        <v>75</v>
      </c>
      <c r="D19" s="5" t="s">
        <v>84</v>
      </c>
      <c r="E19" s="5" t="s">
        <v>83</v>
      </c>
      <c r="F19" s="5"/>
      <c r="G19" s="5"/>
      <c r="H19" s="8" t="str">
        <f t="shared" si="0"/>
        <v>=DISPIMG("ID_73D94B106A6C4FE2BBBE187AD83050B8",1)</v>
      </c>
    </row>
    <row r="20" s="2" customFormat="1" ht="24" customHeight="1" spans="2:8">
      <c r="B20" s="5">
        <v>6</v>
      </c>
      <c r="C20" s="5" t="s">
        <v>75</v>
      </c>
      <c r="D20" s="5" t="s">
        <v>84</v>
      </c>
      <c r="E20" s="5" t="s">
        <v>83</v>
      </c>
      <c r="F20" s="5"/>
      <c r="G20" s="5"/>
      <c r="H20" s="8" t="str">
        <f t="shared" si="0"/>
        <v>=DISPIMG("ID_73D94B106A6C4FE2BBBE187AD83050B8",1)</v>
      </c>
    </row>
    <row r="22" ht="63" customHeight="1" spans="9:19"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</row>
    <row r="23" ht="63" customHeight="1" spans="9:19"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</row>
    <row r="27" ht="22.5" spans="2:8">
      <c r="B27" s="4" t="s">
        <v>85</v>
      </c>
      <c r="C27" s="4"/>
      <c r="D27" s="4"/>
      <c r="E27" s="4"/>
      <c r="F27" s="4"/>
      <c r="G27" s="4"/>
      <c r="H27" s="4"/>
    </row>
    <row r="28" spans="2:8">
      <c r="B28" s="5" t="s">
        <v>62</v>
      </c>
      <c r="C28" s="5" t="s">
        <v>63</v>
      </c>
      <c r="D28" s="5" t="s">
        <v>86</v>
      </c>
      <c r="E28" s="5" t="s">
        <v>65</v>
      </c>
      <c r="F28" s="6" t="s">
        <v>66</v>
      </c>
      <c r="G28" s="6" t="s">
        <v>67</v>
      </c>
      <c r="H28" s="6" t="s">
        <v>58</v>
      </c>
    </row>
    <row r="29" spans="2:8">
      <c r="B29" s="6">
        <v>1</v>
      </c>
      <c r="C29" s="6"/>
      <c r="D29" s="6"/>
      <c r="E29" s="6"/>
      <c r="F29" s="6"/>
      <c r="G29" s="6"/>
      <c r="H29" s="7"/>
    </row>
    <row r="30" spans="2:8">
      <c r="B30" s="2"/>
      <c r="C30" s="2"/>
      <c r="D30" s="2"/>
      <c r="E30" s="2"/>
      <c r="F30" s="2"/>
      <c r="G30" s="2"/>
      <c r="H30" s="2"/>
    </row>
    <row r="31" ht="22.5" spans="2:8">
      <c r="B31" s="4" t="s">
        <v>87</v>
      </c>
      <c r="C31" s="4"/>
      <c r="D31" s="4"/>
      <c r="E31" s="4"/>
      <c r="F31" s="4"/>
      <c r="G31" s="4"/>
      <c r="H31" s="4"/>
    </row>
    <row r="32" spans="2:8">
      <c r="B32" s="5" t="s">
        <v>62</v>
      </c>
      <c r="C32" s="5" t="s">
        <v>63</v>
      </c>
      <c r="D32" s="5" t="s">
        <v>64</v>
      </c>
      <c r="E32" s="5" t="s">
        <v>65</v>
      </c>
      <c r="F32" s="6" t="s">
        <v>66</v>
      </c>
      <c r="G32" s="6" t="s">
        <v>67</v>
      </c>
      <c r="H32" s="6" t="s">
        <v>58</v>
      </c>
    </row>
    <row r="33" spans="2:8">
      <c r="B33" s="5">
        <v>1</v>
      </c>
      <c r="F33" s="6"/>
      <c r="G33" s="6"/>
      <c r="H33" s="6"/>
    </row>
  </sheetData>
  <mergeCells count="6">
    <mergeCell ref="A1:S1"/>
    <mergeCell ref="B3:H3"/>
    <mergeCell ref="B9:H9"/>
    <mergeCell ref="B13:H13"/>
    <mergeCell ref="B27:H27"/>
    <mergeCell ref="B31:H31"/>
  </mergeCells>
  <pageMargins left="0.75" right="0.75" top="1" bottom="1" header="0.5" footer="0.5"/>
  <headerFooter/>
  <ignoredErrors>
    <ignoredError sqref="H16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日志</vt:lpstr>
      <vt:lpstr>设计思路</vt:lpstr>
      <vt:lpstr>界面&amp;功能 </vt:lpstr>
      <vt:lpstr>表格结构</vt:lpstr>
      <vt:lpstr>参考界面</vt:lpstr>
      <vt:lpstr>美术需求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爱玩手机的猫</cp:lastModifiedBy>
  <dcterms:created xsi:type="dcterms:W3CDTF">2024-05-27T08:46:00Z</dcterms:created>
  <dcterms:modified xsi:type="dcterms:W3CDTF">2025-04-10T07:28:58Z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9722E85DBE604A219F5CAF7434148607_13</vt:lpwstr>
  </property>
  <property fmtid="{D5CDD505-2E9C-101B-9397-08002B2CF9AE}" pid="3" name="KSOProductBuildVer">
    <vt:lpwstr>2052-12.1.0.20784</vt:lpwstr>
  </property>
  <property fmtid="{D5CDD505-2E9C-101B-9397-08002B2CF9AE}" pid="4" name="KSOReadingLayout">
    <vt:bool>true</vt:bool>
  </property>
</Properties>
</file>