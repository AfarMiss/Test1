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 firstSheet="2" activeTab="2"/>
  </bookViews>
  <sheets>
    <sheet name="日志" sheetId="5" r:id="rId1"/>
    <sheet name="设计思路" sheetId="4" r:id="rId2"/>
    <sheet name="界面&amp;功能 " sheetId="6" r:id="rId3"/>
    <sheet name="界面参考" sheetId="7" r:id="rId4"/>
    <sheet name="美术需求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" name="ID_F55F620F4C674E45899B07D91D1010E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817080" y="4844415"/>
          <a:ext cx="1514475" cy="971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B2BF4C4FA7EC420184DE405949CB7D1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706205" y="4501515"/>
          <a:ext cx="1514475" cy="971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F183F780F0B74198870C7C5665B9A9B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20000" y="14147800"/>
          <a:ext cx="1028700" cy="809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9F6A2C29253443ABAB160884CA751F7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401050" y="14462125"/>
          <a:ext cx="352425" cy="323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50FD83ABAD844F129515C9C5DB73ADF2" descr="快捷好友请求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815185" y="15297150"/>
          <a:ext cx="381635" cy="366395"/>
        </a:xfrm>
        <a:prstGeom prst="rect">
          <a:avLst/>
        </a:prstGeom>
      </xdr:spPr>
    </xdr:pic>
  </etc:cellImage>
  <etc:cellImage>
    <xdr:pic>
      <xdr:nvPicPr>
        <xdr:cNvPr id="2" name="ID_B008808CADD3435F89CD802E70E5A22F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20000" y="1676400"/>
          <a:ext cx="9020175" cy="5295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5DDF808EA93E484BA0560D26F6EADDE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620000" y="2476500"/>
          <a:ext cx="6067425" cy="3505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2C33BEDCD55B4D75B5B746CA906EA7E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620000" y="3276600"/>
          <a:ext cx="6048375" cy="34004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<sst xmlns="http://schemas.openxmlformats.org/spreadsheetml/2006/main" count="176" uniqueCount="103">
  <si>
    <t>日志</t>
  </si>
  <si>
    <t>系统名称：</t>
  </si>
  <si>
    <t>好友</t>
  </si>
  <si>
    <t>修改时间</t>
  </si>
  <si>
    <t>修改内容</t>
  </si>
  <si>
    <t>修改人</t>
  </si>
  <si>
    <t>创建策划案</t>
  </si>
  <si>
    <t>黄明志</t>
  </si>
  <si>
    <t>设计目的</t>
  </si>
  <si>
    <t>1、</t>
  </si>
  <si>
    <t>游戏基本功能，搭建游戏基本社交环境。</t>
  </si>
  <si>
    <t>与其他系统的关联性</t>
  </si>
  <si>
    <t>基础功能。</t>
  </si>
  <si>
    <t>好友系统</t>
  </si>
  <si>
    <t>功能入口</t>
  </si>
  <si>
    <t>主界面点击“好友”入口进入</t>
  </si>
  <si>
    <t>功能规则</t>
  </si>
  <si>
    <t>好友列表</t>
  </si>
  <si>
    <t>界面标题</t>
  </si>
  <si>
    <r>
      <rPr>
        <sz val="11"/>
        <color theme="1"/>
        <rFont val="宋体"/>
        <charset val="134"/>
      </rPr>
      <t>▶</t>
    </r>
  </si>
  <si>
    <t>文本内容，无过多功能。</t>
  </si>
  <si>
    <t>2、</t>
  </si>
  <si>
    <t>关闭按钮</t>
  </si>
  <si>
    <t>点击关闭界面，无其他功能。</t>
  </si>
  <si>
    <t>按钮点击需要按下效果。</t>
  </si>
  <si>
    <t>3、</t>
  </si>
  <si>
    <t>页签按钮</t>
  </si>
  <si>
    <t>共有两个按钮，按钮需要有按下效果。</t>
  </si>
  <si>
    <t>点击切换页签。</t>
  </si>
  <si>
    <t>4、</t>
  </si>
  <si>
    <t>显示信息</t>
  </si>
  <si>
    <t>显示每个角色的对应信息。</t>
  </si>
  <si>
    <t>5、</t>
  </si>
  <si>
    <t>名字信息</t>
  </si>
  <si>
    <t>点击后出现操作信息框</t>
  </si>
  <si>
    <t>操作按钮点击会弹出二级操作界面。</t>
  </si>
  <si>
    <t>二级操作界面上共有六个按钮，按钮会分为两个状态。</t>
  </si>
  <si>
    <t>六个按钮分别有对应功能，且会根据对应功能限制等条件判断按钮展示逻辑。</t>
  </si>
  <si>
    <t>移除好友：点击后弹出二级确认界面，确认后该角色从好友列表中移除。（此时客户端应刷新界面）</t>
  </si>
  <si>
    <t>加黑名单：点击后弹出二级确认界面，确认后该角色从好友列表中移除并添加至黑名单列表。</t>
  </si>
  <si>
    <t>黑名单：黑名单逻辑将在后方写清。</t>
  </si>
  <si>
    <t>私聊：点击后跳转到聊天界面，将在后方写出。</t>
  </si>
  <si>
    <t>若对应玩家为离线状态则无法发送私聊，按钮则置灰处理。</t>
  </si>
  <si>
    <t>邀请组队：点击后向对方玩家发出组队邀请，与组队同理。</t>
  </si>
  <si>
    <t>若当前玩家队伍已满则按钮置灰，点击并返还“当前队伍成员已满”提示。</t>
  </si>
  <si>
    <t>在线状态：若玩家在线，则状态显示为“在线”若使用文字标记则显示为“绿色”；若玩家离线，使用字色标记则显示为灰色。</t>
  </si>
  <si>
    <t>6、</t>
  </si>
  <si>
    <t>好友信息</t>
  </si>
  <si>
    <t>显示好友列表的数量信息，显示格式为：在线数量/总好友数量。</t>
  </si>
  <si>
    <t>在线数量字色需要为“绿色”</t>
  </si>
  <si>
    <t>7、</t>
  </si>
  <si>
    <t>自动同意</t>
  </si>
  <si>
    <t>勾选后自动同意好友申请，不需审批</t>
  </si>
  <si>
    <t>勾选状态一直保留，需玩家手动取消勾选</t>
  </si>
  <si>
    <t>8、</t>
  </si>
  <si>
    <t>申请列表</t>
  </si>
  <si>
    <t>点击后弹出申请列表界面。</t>
  </si>
  <si>
    <t>9、</t>
  </si>
  <si>
    <t>添加好友</t>
  </si>
  <si>
    <t>黑名单列表</t>
  </si>
  <si>
    <t>点击后弹出添加好友界面。</t>
  </si>
  <si>
    <t>与好友界面相差不大，只阐述区别部分，</t>
  </si>
  <si>
    <t>玩家名字信息</t>
  </si>
  <si>
    <t>只显示玩家信息，不显示操作面板。</t>
  </si>
  <si>
    <t>信息栏</t>
  </si>
  <si>
    <t>点击仅显示取消拉黑按钮</t>
  </si>
  <si>
    <t>界面底部</t>
  </si>
  <si>
    <t>界面底部不显示任何信息及任何功能按钮。</t>
  </si>
  <si>
    <t>黑名单权限逻辑。</t>
  </si>
  <si>
    <t>被拉黑玩家无法向玩家发送消息及任何邀请。</t>
  </si>
  <si>
    <t>主界面信息</t>
  </si>
  <si>
    <t>当收到申请好友信息时，主界面有闪动图标</t>
  </si>
  <si>
    <t>点击打开申请列表</t>
  </si>
  <si>
    <t>添加好友界面</t>
  </si>
  <si>
    <t>未查找玩家时候显示背景图</t>
  </si>
  <si>
    <t>查找到玩家后，显示玩家的基础信息</t>
  </si>
  <si>
    <t>玩家名称，职业，行会，等级和状态</t>
  </si>
  <si>
    <t>参考界面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</si>
  <si>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</si>
  <si>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</si>
  <si>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</si>
  <si>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</si>
  <si>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</si>
  <si>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</si>
  <si>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</si>
  <si>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</si>
  <si>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</si>
  <si>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</si>
  <si>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好友界面</t>
  </si>
  <si>
    <t>申请列表界面</t>
  </si>
  <si>
    <t>原画需求</t>
  </si>
  <si>
    <t>无</t>
  </si>
  <si>
    <t>ICON需求</t>
  </si>
  <si>
    <t>图标需求</t>
  </si>
  <si>
    <t>尺寸需求</t>
  </si>
  <si>
    <t>ICON</t>
  </si>
  <si>
    <t>动效需求</t>
  </si>
  <si>
    <t>描述</t>
  </si>
  <si>
    <t>其他</t>
  </si>
  <si>
    <t>社交入口</t>
  </si>
  <si>
    <t>主界面的社交入口</t>
  </si>
  <si>
    <t>界面入口</t>
  </si>
  <si>
    <t>好友邀请闪动按钮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</si>
</sst>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7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8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9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media/image5.png"/><Relationship Id="rId7" Type="http://schemas.openxmlformats.org/officeDocument/2006/relationships/image" Target="media/image3.png"/><Relationship Id="rId6" Type="http://schemas.openxmlformats.org/officeDocument/2006/relationships/image" Target="media/image2.png"/><Relationship Id="rId5" Type="http://schemas.openxmlformats.org/officeDocument/2006/relationships/image" Target="media/image13.png"/><Relationship Id="rId4" Type="http://schemas.openxmlformats.org/officeDocument/2006/relationships/image" Target="media/image12.png"/><Relationship Id="rId3" Type="http://schemas.openxmlformats.org/officeDocument/2006/relationships/image" Target="media/image11.png"/><Relationship Id="rId2" Type="http://schemas.openxmlformats.org/officeDocument/2006/relationships/image" Target="media/image10.png"/><Relationship Id="rId1" Type="http://schemas.openxmlformats.org/officeDocument/2006/relationships/image" Target="media/image9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125095</xdr:colOff>
      <xdr:row>52</xdr:row>
      <xdr:rowOff>19050</xdr:rowOff>
    </xdr:from>
    <xdr:to>
      <xdr:col>13</xdr:col>
      <xdr:colOff>617855</xdr:colOff>
      <xdr:row>77</xdr:row>
      <xdr:rowOff>123825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0895" y="11477625"/>
          <a:ext cx="8886825" cy="5343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483870</xdr:colOff>
      <xdr:row>13</xdr:row>
      <xdr:rowOff>208280</xdr:rowOff>
    </xdr:from>
    <xdr:to>
      <xdr:col>13</xdr:col>
      <xdr:colOff>424180</xdr:colOff>
      <xdr:row>39</xdr:row>
      <xdr:rowOff>55880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3870" y="3418205"/>
          <a:ext cx="9020175" cy="5295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67945</xdr:colOff>
      <xdr:row>11</xdr:row>
      <xdr:rowOff>130175</xdr:rowOff>
    </xdr:from>
    <xdr:to>
      <xdr:col>12</xdr:col>
      <xdr:colOff>448945</xdr:colOff>
      <xdr:row>12</xdr:row>
      <xdr:rowOff>206375</xdr:rowOff>
    </xdr:to>
    <xdr:sp>
      <xdr:nvSpPr>
        <xdr:cNvPr id="4" name="线形标注 1(无边框) 3"/>
        <xdr:cNvSpPr/>
      </xdr:nvSpPr>
      <xdr:spPr>
        <a:xfrm>
          <a:off x="8462010" y="284480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348615</xdr:colOff>
      <xdr:row>11</xdr:row>
      <xdr:rowOff>163195</xdr:rowOff>
    </xdr:from>
    <xdr:to>
      <xdr:col>6</xdr:col>
      <xdr:colOff>43815</xdr:colOff>
      <xdr:row>12</xdr:row>
      <xdr:rowOff>239395</xdr:rowOff>
    </xdr:to>
    <xdr:sp>
      <xdr:nvSpPr>
        <xdr:cNvPr id="7" name="线形标注 1(无边框) 6"/>
        <xdr:cNvSpPr/>
      </xdr:nvSpPr>
      <xdr:spPr>
        <a:xfrm>
          <a:off x="3942080" y="287782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339725</xdr:colOff>
      <xdr:row>12</xdr:row>
      <xdr:rowOff>236855</xdr:rowOff>
    </xdr:from>
    <xdr:to>
      <xdr:col>1</xdr:col>
      <xdr:colOff>720725</xdr:colOff>
      <xdr:row>14</xdr:row>
      <xdr:rowOff>27305</xdr:rowOff>
    </xdr:to>
    <xdr:sp>
      <xdr:nvSpPr>
        <xdr:cNvPr id="8" name="线形标注 1(无边框) 7"/>
        <xdr:cNvSpPr/>
      </xdr:nvSpPr>
      <xdr:spPr>
        <a:xfrm>
          <a:off x="1025525" y="316103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833120</xdr:colOff>
      <xdr:row>33</xdr:row>
      <xdr:rowOff>122555</xdr:rowOff>
    </xdr:from>
    <xdr:to>
      <xdr:col>2</xdr:col>
      <xdr:colOff>363855</xdr:colOff>
      <xdr:row>34</xdr:row>
      <xdr:rowOff>198755</xdr:rowOff>
    </xdr:to>
    <xdr:sp>
      <xdr:nvSpPr>
        <xdr:cNvPr id="13" name="线形标注 1(无边框) 12"/>
        <xdr:cNvSpPr/>
      </xdr:nvSpPr>
      <xdr:spPr>
        <a:xfrm>
          <a:off x="1518920" y="752348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386715</xdr:colOff>
      <xdr:row>33</xdr:row>
      <xdr:rowOff>193675</xdr:rowOff>
    </xdr:from>
    <xdr:to>
      <xdr:col>1</xdr:col>
      <xdr:colOff>81915</xdr:colOff>
      <xdr:row>35</xdr:row>
      <xdr:rowOff>60325</xdr:rowOff>
    </xdr:to>
    <xdr:sp>
      <xdr:nvSpPr>
        <xdr:cNvPr id="14" name="线形标注 1(无边框) 13"/>
        <xdr:cNvSpPr/>
      </xdr:nvSpPr>
      <xdr:spPr>
        <a:xfrm>
          <a:off x="386715" y="759460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342265</xdr:colOff>
      <xdr:row>14</xdr:row>
      <xdr:rowOff>171450</xdr:rowOff>
    </xdr:from>
    <xdr:to>
      <xdr:col>1</xdr:col>
      <xdr:colOff>37465</xdr:colOff>
      <xdr:row>16</xdr:row>
      <xdr:rowOff>38100</xdr:rowOff>
    </xdr:to>
    <xdr:sp>
      <xdr:nvSpPr>
        <xdr:cNvPr id="17" name="线形标注 1(无边框) 16"/>
        <xdr:cNvSpPr/>
      </xdr:nvSpPr>
      <xdr:spPr>
        <a:xfrm>
          <a:off x="342265" y="359092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269240</xdr:colOff>
      <xdr:row>54</xdr:row>
      <xdr:rowOff>73660</xdr:rowOff>
    </xdr:from>
    <xdr:to>
      <xdr:col>3</xdr:col>
      <xdr:colOff>650240</xdr:colOff>
      <xdr:row>55</xdr:row>
      <xdr:rowOff>149860</xdr:rowOff>
    </xdr:to>
    <xdr:sp>
      <xdr:nvSpPr>
        <xdr:cNvPr id="21" name="线形标注 1(无边框) 20"/>
        <xdr:cNvSpPr/>
      </xdr:nvSpPr>
      <xdr:spPr>
        <a:xfrm>
          <a:off x="2491105" y="1195133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56515</xdr:colOff>
      <xdr:row>58</xdr:row>
      <xdr:rowOff>50800</xdr:rowOff>
    </xdr:from>
    <xdr:to>
      <xdr:col>5</xdr:col>
      <xdr:colOff>437515</xdr:colOff>
      <xdr:row>59</xdr:row>
      <xdr:rowOff>127000</xdr:rowOff>
    </xdr:to>
    <xdr:sp>
      <xdr:nvSpPr>
        <xdr:cNvPr id="22" name="线形标注 1(无边框) 21"/>
        <xdr:cNvSpPr/>
      </xdr:nvSpPr>
      <xdr:spPr>
        <a:xfrm>
          <a:off x="3649980" y="1276667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248285</xdr:colOff>
      <xdr:row>71</xdr:row>
      <xdr:rowOff>87630</xdr:rowOff>
    </xdr:from>
    <xdr:to>
      <xdr:col>5</xdr:col>
      <xdr:colOff>629285</xdr:colOff>
      <xdr:row>72</xdr:row>
      <xdr:rowOff>163830</xdr:rowOff>
    </xdr:to>
    <xdr:sp>
      <xdr:nvSpPr>
        <xdr:cNvPr id="25" name="线形标注 1(无边框) 24"/>
        <xdr:cNvSpPr/>
      </xdr:nvSpPr>
      <xdr:spPr>
        <a:xfrm>
          <a:off x="3841750" y="1552765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476885</xdr:colOff>
      <xdr:row>18</xdr:row>
      <xdr:rowOff>203835</xdr:rowOff>
    </xdr:from>
    <xdr:to>
      <xdr:col>3</xdr:col>
      <xdr:colOff>172085</xdr:colOff>
      <xdr:row>20</xdr:row>
      <xdr:rowOff>70485</xdr:rowOff>
    </xdr:to>
    <xdr:sp>
      <xdr:nvSpPr>
        <xdr:cNvPr id="11" name="线形标注 1(无边框) 10"/>
        <xdr:cNvSpPr/>
      </xdr:nvSpPr>
      <xdr:spPr>
        <a:xfrm>
          <a:off x="2012950" y="446151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601345</xdr:colOff>
      <xdr:row>32</xdr:row>
      <xdr:rowOff>107315</xdr:rowOff>
    </xdr:from>
    <xdr:to>
      <xdr:col>9</xdr:col>
      <xdr:colOff>296545</xdr:colOff>
      <xdr:row>33</xdr:row>
      <xdr:rowOff>183515</xdr:rowOff>
    </xdr:to>
    <xdr:sp>
      <xdr:nvSpPr>
        <xdr:cNvPr id="15" name="线形标注 1(无边框) 14"/>
        <xdr:cNvSpPr/>
      </xdr:nvSpPr>
      <xdr:spPr>
        <a:xfrm>
          <a:off x="6252210" y="729869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520065</xdr:colOff>
      <xdr:row>32</xdr:row>
      <xdr:rowOff>114300</xdr:rowOff>
    </xdr:from>
    <xdr:to>
      <xdr:col>7</xdr:col>
      <xdr:colOff>215265</xdr:colOff>
      <xdr:row>33</xdr:row>
      <xdr:rowOff>190500</xdr:rowOff>
    </xdr:to>
    <xdr:sp>
      <xdr:nvSpPr>
        <xdr:cNvPr id="19" name="线形标注 1(无边框) 18"/>
        <xdr:cNvSpPr/>
      </xdr:nvSpPr>
      <xdr:spPr>
        <a:xfrm>
          <a:off x="4799330" y="730567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673735</xdr:colOff>
      <xdr:row>83</xdr:row>
      <xdr:rowOff>74930</xdr:rowOff>
    </xdr:from>
    <xdr:to>
      <xdr:col>10</xdr:col>
      <xdr:colOff>404495</xdr:colOff>
      <xdr:row>100</xdr:row>
      <xdr:rowOff>17780</xdr:rowOff>
    </xdr:to>
    <xdr:pic>
      <xdr:nvPicPr>
        <xdr:cNvPr id="12" name="图片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59535" y="18555335"/>
          <a:ext cx="6067425" cy="350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91440</xdr:colOff>
      <xdr:row>106</xdr:row>
      <xdr:rowOff>52705</xdr:rowOff>
    </xdr:from>
    <xdr:to>
      <xdr:col>10</xdr:col>
      <xdr:colOff>653415</xdr:colOff>
      <xdr:row>122</xdr:row>
      <xdr:rowOff>205105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27505" y="23428960"/>
          <a:ext cx="6048375" cy="350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539750</xdr:colOff>
      <xdr:row>127</xdr:row>
      <xdr:rowOff>10160</xdr:rowOff>
    </xdr:from>
    <xdr:to>
      <xdr:col>11</xdr:col>
      <xdr:colOff>415925</xdr:colOff>
      <xdr:row>143</xdr:row>
      <xdr:rowOff>57785</xdr:rowOff>
    </xdr:to>
    <xdr:pic>
      <xdr:nvPicPr>
        <xdr:cNvPr id="18" name="图片 1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75815" y="27786965"/>
          <a:ext cx="6048375" cy="3400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19050</xdr:colOff>
      <xdr:row>2</xdr:row>
      <xdr:rowOff>66675</xdr:rowOff>
    </xdr:from>
    <xdr:to>
      <xdr:col>11</xdr:col>
      <xdr:colOff>552450</xdr:colOff>
      <xdr:row>28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619125"/>
          <a:ext cx="7391400" cy="452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333375</xdr:colOff>
      <xdr:row>30</xdr:row>
      <xdr:rowOff>47625</xdr:rowOff>
    </xdr:from>
    <xdr:to>
      <xdr:col>11</xdr:col>
      <xdr:colOff>657225</xdr:colOff>
      <xdr:row>55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19175" y="5400675"/>
          <a:ext cx="7181850" cy="4391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381000</xdr:colOff>
      <xdr:row>57</xdr:row>
      <xdr:rowOff>152400</xdr:rowOff>
    </xdr:from>
    <xdr:to>
      <xdr:col>12</xdr:col>
      <xdr:colOff>104775</xdr:colOff>
      <xdr:row>83</xdr:row>
      <xdr:rowOff>104775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66800" y="10134600"/>
          <a:ext cx="7267575" cy="4410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L22" sqref="L22"/>
    </sheetView>
  </sheetViews>
  <sheetFormatPr defaultColWidth="9" defaultRowHeight="13.5"/>
  <cols>
    <col min="1" max="1" width="10.375" style="23"/>
    <col min="2" max="2" width="11.5" style="23" customWidth="1"/>
    <col min="3" max="3" width="15" style="23" customWidth="1"/>
    <col min="4" max="4" width="9.75" style="23" customWidth="1"/>
    <col min="5" max="16384" width="9" style="23"/>
  </cols>
  <sheetData>
    <row r="1" ht="29.25" spans="1:1638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  <c r="XFB1" s="24"/>
      <c r="XFC1" s="24"/>
    </row>
    <row r="5" spans="2:4">
      <c r="B5" s="25" t="s">
        <v>1</v>
      </c>
      <c r="C5" s="26" t="s">
        <v>2</v>
      </c>
      <c r="D5" s="26"/>
    </row>
    <row r="6" spans="2:4">
      <c r="B6" s="27" t="s">
        <v>3</v>
      </c>
      <c r="C6" s="28" t="s">
        <v>4</v>
      </c>
      <c r="D6" s="28" t="s">
        <v>5</v>
      </c>
    </row>
    <row r="7" spans="2:4">
      <c r="B7" s="29">
        <v>45944</v>
      </c>
      <c r="C7" s="30" t="s">
        <v>6</v>
      </c>
      <c r="D7" s="30" t="s">
        <v>7</v>
      </c>
    </row>
    <row r="8" spans="2:4">
      <c r="B8" s="29"/>
      <c r="C8" s="30"/>
      <c r="D8" s="30"/>
    </row>
    <row r="9" spans="2:4">
      <c r="B9" s="29"/>
      <c r="C9" s="30"/>
      <c r="D9" s="30"/>
    </row>
    <row r="10" spans="2:4">
      <c r="B10" s="31"/>
      <c r="C10" s="30"/>
      <c r="D10" s="30"/>
    </row>
    <row r="11" spans="2:4">
      <c r="B11" s="31"/>
      <c r="C11" s="30"/>
      <c r="D11" s="30"/>
    </row>
    <row r="12" spans="2:4">
      <c r="B12" s="31"/>
      <c r="C12" s="30"/>
      <c r="D12" s="30"/>
    </row>
    <row r="13" spans="2:4">
      <c r="B13" s="31"/>
      <c r="C13" s="30"/>
      <c r="D13" s="30"/>
    </row>
    <row r="14" spans="2:4">
      <c r="B14" s="31"/>
      <c r="C14" s="30"/>
      <c r="D14" s="30"/>
    </row>
    <row r="15" spans="2:4">
      <c r="B15" s="31"/>
      <c r="C15" s="30"/>
      <c r="D15" s="30"/>
    </row>
    <row r="16" spans="2:4">
      <c r="B16" s="31"/>
      <c r="C16" s="30"/>
      <c r="D16" s="30"/>
    </row>
    <row r="17" spans="2:4">
      <c r="B17" s="31"/>
      <c r="C17" s="30"/>
      <c r="D17" s="30"/>
    </row>
    <row r="18" spans="2:4">
      <c r="B18" s="31"/>
      <c r="C18" s="30"/>
      <c r="D18" s="30"/>
    </row>
    <row r="19" spans="2:4">
      <c r="B19" s="31"/>
      <c r="C19" s="30"/>
      <c r="D19" s="30"/>
    </row>
    <row r="20" spans="2:4">
      <c r="B20" s="31"/>
      <c r="C20" s="30"/>
      <c r="D20" s="30"/>
    </row>
    <row r="21" spans="2:4">
      <c r="B21" s="31"/>
      <c r="C21" s="30"/>
      <c r="D21" s="30"/>
    </row>
    <row r="22" spans="2:4">
      <c r="B22" s="31"/>
      <c r="C22" s="30"/>
      <c r="D22" s="30"/>
    </row>
    <row r="23" spans="2:4">
      <c r="B23" s="31"/>
      <c r="C23" s="30"/>
      <c r="D23" s="30"/>
    </row>
    <row r="24" spans="2:4">
      <c r="B24" s="31"/>
      <c r="C24" s="30"/>
      <c r="D24" s="30"/>
    </row>
    <row r="25" spans="2:4">
      <c r="B25" s="31"/>
      <c r="C25" s="30"/>
      <c r="D25" s="30"/>
    </row>
    <row r="26" spans="2:4">
      <c r="B26" s="31"/>
      <c r="C26" s="30"/>
      <c r="D26" s="30"/>
    </row>
    <row r="27" spans="2:4">
      <c r="B27" s="31"/>
      <c r="C27" s="30"/>
      <c r="D27" s="30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6.5"/>
  <cols>
    <col min="1" max="16384" width="9" style="11"/>
  </cols>
  <sheetData>
    <row r="1" s="8" customFormat="1" ht="30" customHeight="1" spans="1:1">
      <c r="A1" s="8" t="s">
        <v>2</v>
      </c>
    </row>
    <row r="3" ht="22.5" spans="2:7">
      <c r="B3" s="13" t="s">
        <v>8</v>
      </c>
      <c r="C3" s="13"/>
      <c r="D3" s="13"/>
      <c r="E3" s="13"/>
      <c r="F3" s="13"/>
      <c r="G3" s="13"/>
    </row>
    <row r="5" spans="2:6">
      <c r="B5" s="16" t="s">
        <v>9</v>
      </c>
      <c r="C5" s="11" t="s">
        <v>10</v>
      </c>
      <c r="D5" s="18"/>
      <c r="E5" s="18"/>
      <c r="F5" s="18"/>
    </row>
    <row r="6" spans="2:6">
      <c r="B6" s="14"/>
      <c r="D6" s="18"/>
      <c r="E6" s="18"/>
      <c r="F6" s="18"/>
    </row>
    <row r="7" spans="2:6">
      <c r="B7" s="14"/>
      <c r="C7" s="18"/>
      <c r="D7" s="18"/>
      <c r="E7" s="18"/>
      <c r="F7" s="18"/>
    </row>
    <row r="9" ht="22.5" spans="2:7">
      <c r="B9" s="20" t="s">
        <v>11</v>
      </c>
      <c r="C9" s="20"/>
      <c r="D9" s="20"/>
      <c r="E9" s="20"/>
      <c r="F9" s="20"/>
      <c r="G9" s="20"/>
    </row>
    <row r="11" spans="2:3">
      <c r="B11" s="21" t="s">
        <v>9</v>
      </c>
      <c r="C11" s="18" t="s">
        <v>12</v>
      </c>
    </row>
    <row r="12" spans="2:3">
      <c r="B12" s="21"/>
      <c r="C12" s="18"/>
    </row>
    <row r="13" spans="2:3">
      <c r="B13" s="18"/>
      <c r="C13" s="18"/>
    </row>
    <row r="14" spans="2:3">
      <c r="B14" s="22"/>
      <c r="C14" s="18"/>
    </row>
    <row r="15" spans="2:3">
      <c r="B15" s="18"/>
      <c r="C15" s="18"/>
    </row>
    <row r="16" spans="2:3">
      <c r="B16" s="22"/>
      <c r="C16" s="18"/>
    </row>
    <row r="17" spans="2:3">
      <c r="B17" s="18"/>
      <c r="C17" s="18"/>
    </row>
    <row r="18" spans="2:3">
      <c r="B18" s="22"/>
      <c r="C18" s="18"/>
    </row>
  </sheetData>
  <mergeCells count="3">
    <mergeCell ref="A1:XFD1"/>
    <mergeCell ref="B3:G3"/>
    <mergeCell ref="B9:G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26"/>
  <sheetViews>
    <sheetView tabSelected="1" zoomScale="85" zoomScaleNormal="85" workbookViewId="0">
      <pane xSplit="15" ySplit="11" topLeftCell="P101" activePane="bottomRight" state="frozen"/>
      <selection/>
      <selection pane="topRight"/>
      <selection pane="bottomLeft"/>
      <selection pane="bottomRight" activeCell="W111" sqref="W111"/>
    </sheetView>
  </sheetViews>
  <sheetFormatPr defaultColWidth="9" defaultRowHeight="16.5"/>
  <cols>
    <col min="1" max="1" width="9" style="11"/>
    <col min="2" max="2" width="11.1583333333333" style="11"/>
    <col min="3" max="18" width="9" style="11"/>
    <col min="19" max="19" width="2.05833333333333" style="12" customWidth="1"/>
    <col min="20" max="16384" width="9" style="11"/>
  </cols>
  <sheetData>
    <row r="1" ht="29.25" spans="1:4">
      <c r="A1" s="8" t="s">
        <v>13</v>
      </c>
      <c r="B1" s="8"/>
      <c r="C1" s="8"/>
      <c r="D1" s="8"/>
    </row>
    <row r="3" ht="22.5" spans="3:8">
      <c r="C3" s="13" t="s">
        <v>14</v>
      </c>
      <c r="D3" s="13"/>
      <c r="E3" s="13"/>
      <c r="F3" s="13"/>
      <c r="G3" s="13"/>
      <c r="H3" s="13"/>
    </row>
    <row r="4" spans="3:3">
      <c r="C4" s="11" t="s">
        <v>15</v>
      </c>
    </row>
    <row r="11" s="8" customFormat="1" ht="30" customHeight="1" spans="1:36">
      <c r="A11" s="8" t="s">
        <v>2</v>
      </c>
      <c r="T11" s="8" t="s">
        <v>16</v>
      </c>
      <c r="U11" s="9"/>
      <c r="AJ11" s="10"/>
    </row>
    <row r="13" ht="22.5" spans="2:22">
      <c r="B13" s="13" t="s">
        <v>17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V13" s="15"/>
    </row>
    <row r="14" spans="21:22">
      <c r="U14" s="16" t="s">
        <v>9</v>
      </c>
      <c r="V14" s="11" t="s">
        <v>18</v>
      </c>
    </row>
    <row r="15" customHeight="1" spans="16:22">
      <c r="P15" s="14"/>
      <c r="U15" s="16" t="s">
        <v>19</v>
      </c>
      <c r="V15" s="11" t="s">
        <v>20</v>
      </c>
    </row>
    <row r="16" customHeight="1" spans="1:2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U16" s="16" t="s">
        <v>21</v>
      </c>
      <c r="V16" s="11" t="s">
        <v>22</v>
      </c>
    </row>
    <row r="17" spans="1:2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U17" s="16" t="s">
        <v>19</v>
      </c>
      <c r="V17" s="11" t="s">
        <v>23</v>
      </c>
    </row>
    <row r="18" spans="1:2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U18" s="16" t="s">
        <v>19</v>
      </c>
      <c r="V18" s="11" t="s">
        <v>24</v>
      </c>
    </row>
    <row r="19" spans="1:2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U19" s="16" t="s">
        <v>25</v>
      </c>
      <c r="V19" s="11" t="s">
        <v>26</v>
      </c>
    </row>
    <row r="20" spans="1:2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U20" s="16" t="s">
        <v>19</v>
      </c>
      <c r="V20" s="11" t="s">
        <v>27</v>
      </c>
    </row>
    <row r="21" spans="1:2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U21" s="16" t="s">
        <v>19</v>
      </c>
      <c r="V21" s="17" t="s">
        <v>28</v>
      </c>
    </row>
    <row r="22" spans="1:2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U22" s="16" t="s">
        <v>29</v>
      </c>
      <c r="V22" s="17" t="s">
        <v>30</v>
      </c>
      <c r="W22" s="16"/>
    </row>
    <row r="23" spans="1:24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U23" s="16" t="s">
        <v>19</v>
      </c>
      <c r="V23" s="11" t="s">
        <v>31</v>
      </c>
      <c r="X23" s="16"/>
    </row>
    <row r="24" spans="1:2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U24" s="16" t="s">
        <v>32</v>
      </c>
      <c r="V24" s="11" t="s">
        <v>33</v>
      </c>
      <c r="W24" s="16"/>
    </row>
    <row r="25" spans="1:2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U25" s="16" t="s">
        <v>19</v>
      </c>
      <c r="V25" s="17" t="s">
        <v>34</v>
      </c>
      <c r="W25" s="16"/>
    </row>
    <row r="26" spans="1:2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U26" s="16" t="s">
        <v>19</v>
      </c>
      <c r="V26" s="17" t="s">
        <v>35</v>
      </c>
      <c r="W26" s="17"/>
    </row>
    <row r="27" spans="1:2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V27" s="16" t="s">
        <v>19</v>
      </c>
      <c r="W27" s="11" t="s">
        <v>36</v>
      </c>
    </row>
    <row r="28" spans="1:2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U28" s="16"/>
      <c r="W28" s="16" t="s">
        <v>19</v>
      </c>
      <c r="X28" s="11" t="s">
        <v>37</v>
      </c>
    </row>
    <row r="29" spans="1:2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U29" s="16"/>
      <c r="V29" s="17"/>
      <c r="W29" s="16" t="s">
        <v>19</v>
      </c>
      <c r="X29" s="11" t="s">
        <v>38</v>
      </c>
    </row>
    <row r="30" spans="1:24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U30" s="16"/>
      <c r="V30" s="16"/>
      <c r="W30" s="16" t="s">
        <v>19</v>
      </c>
      <c r="X30" s="18" t="s">
        <v>39</v>
      </c>
    </row>
    <row r="31" spans="1:34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U31" s="16"/>
      <c r="V31" s="16"/>
      <c r="X31" s="16" t="s">
        <v>19</v>
      </c>
      <c r="Y31" s="11" t="s">
        <v>40</v>
      </c>
      <c r="AD31" s="14" t="str">
        <f>_xlfn.DISPIMG("ID_F55F620F4C674E45899B07D91D1010EB",1)</f>
        <v>=DISPIMG("ID_F55F620F4C674E45899B07D91D1010EB",1)</v>
      </c>
      <c r="AE31" s="14"/>
      <c r="AG31" s="14" t="str">
        <f>_xlfn.DISPIMG("ID_B2BF4C4FA7EC420184DE405949CB7D17",1)</f>
        <v>=DISPIMG("ID_B2BF4C4FA7EC420184DE405949CB7D17",1)</v>
      </c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U32" s="16"/>
      <c r="W32" s="16" t="s">
        <v>19</v>
      </c>
      <c r="X32" s="11" t="s">
        <v>41</v>
      </c>
      <c r="AD32" s="14"/>
      <c r="AE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T33" s="16"/>
      <c r="U33" s="16"/>
      <c r="X33" s="16" t="s">
        <v>19</v>
      </c>
      <c r="Y33" s="11" t="s">
        <v>42</v>
      </c>
      <c r="AD33" s="14"/>
      <c r="AE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T34" s="16"/>
      <c r="W34" s="16" t="s">
        <v>19</v>
      </c>
      <c r="X34" s="11" t="s">
        <v>43</v>
      </c>
      <c r="AD34" s="14"/>
      <c r="AE34" s="14"/>
      <c r="AG34" s="14"/>
      <c r="AH34" s="14"/>
    </row>
    <row r="35" customHeight="1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T35" s="16"/>
      <c r="U35" s="16"/>
      <c r="X35" s="16" t="s">
        <v>19</v>
      </c>
      <c r="Y35" s="11" t="s">
        <v>44</v>
      </c>
      <c r="AD35" s="14"/>
      <c r="AE35" s="14"/>
      <c r="AG35" s="14"/>
      <c r="AH35" s="14"/>
    </row>
    <row r="36" spans="1:2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U36" s="16"/>
      <c r="V36" s="17"/>
      <c r="W36" s="16"/>
      <c r="X36" s="17"/>
    </row>
    <row r="37" spans="1:2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U37" s="16"/>
      <c r="X37" s="16"/>
    </row>
    <row r="38" spans="1:2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T38" s="16"/>
      <c r="V38" s="16"/>
      <c r="W38" s="16"/>
    </row>
    <row r="39" spans="1:2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U39" s="16" t="s">
        <v>19</v>
      </c>
      <c r="V39" s="17" t="s">
        <v>45</v>
      </c>
    </row>
    <row r="40" spans="1:2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U40" s="16" t="s">
        <v>46</v>
      </c>
      <c r="V40" s="11" t="s">
        <v>47</v>
      </c>
    </row>
    <row r="41" spans="1:2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U41" s="16" t="s">
        <v>19</v>
      </c>
      <c r="V41" s="11" t="s">
        <v>48</v>
      </c>
    </row>
    <row r="42" spans="1:2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V42" s="16" t="s">
        <v>19</v>
      </c>
      <c r="W42" s="11" t="s">
        <v>49</v>
      </c>
    </row>
    <row r="43" spans="21:22">
      <c r="U43" s="16" t="s">
        <v>50</v>
      </c>
      <c r="V43" s="16" t="s">
        <v>51</v>
      </c>
    </row>
    <row r="44" spans="21:22">
      <c r="U44" s="16" t="s">
        <v>19</v>
      </c>
      <c r="V44" s="17" t="s">
        <v>52</v>
      </c>
    </row>
    <row r="45" spans="21:22">
      <c r="U45" s="16" t="s">
        <v>19</v>
      </c>
      <c r="V45" s="11" t="s">
        <v>53</v>
      </c>
    </row>
    <row r="47" spans="21:22">
      <c r="U47" s="16" t="s">
        <v>54</v>
      </c>
      <c r="V47" s="17" t="s">
        <v>55</v>
      </c>
    </row>
    <row r="48" spans="21:22">
      <c r="U48" s="16" t="s">
        <v>19</v>
      </c>
      <c r="V48" s="11" t="s">
        <v>56</v>
      </c>
    </row>
    <row r="49" spans="21:22">
      <c r="U49" s="16" t="s">
        <v>57</v>
      </c>
      <c r="V49" s="11" t="s">
        <v>58</v>
      </c>
    </row>
    <row r="50" ht="22.5" spans="2:22">
      <c r="B50" s="13" t="s">
        <v>59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U50" s="16" t="s">
        <v>19</v>
      </c>
      <c r="V50" s="11" t="s">
        <v>60</v>
      </c>
    </row>
    <row r="52" spans="2:15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2:15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2:15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2:15"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2:15"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2:15"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2:21"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U58" s="19" t="s">
        <v>61</v>
      </c>
    </row>
    <row r="59" spans="2:22"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U59" s="16" t="s">
        <v>9</v>
      </c>
      <c r="V59" s="11" t="s">
        <v>62</v>
      </c>
    </row>
    <row r="60" spans="2:22"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U60" s="16" t="s">
        <v>19</v>
      </c>
      <c r="V60" s="11" t="s">
        <v>63</v>
      </c>
    </row>
    <row r="61" spans="2:22"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U61" s="16" t="s">
        <v>21</v>
      </c>
      <c r="V61" s="11" t="s">
        <v>64</v>
      </c>
    </row>
    <row r="62" spans="2:22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U62" s="16" t="s">
        <v>19</v>
      </c>
      <c r="V62" s="11" t="s">
        <v>65</v>
      </c>
    </row>
    <row r="63" spans="2:22"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U63" s="16"/>
      <c r="V63" s="16"/>
    </row>
    <row r="64" spans="2:22"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U64" s="16" t="s">
        <v>25</v>
      </c>
      <c r="V64" s="17" t="s">
        <v>66</v>
      </c>
    </row>
    <row r="65" spans="2:22"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U65" s="16" t="s">
        <v>19</v>
      </c>
      <c r="V65" s="17" t="s">
        <v>67</v>
      </c>
    </row>
    <row r="66" spans="2:22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U66" s="16" t="s">
        <v>29</v>
      </c>
      <c r="V66" s="17" t="s">
        <v>68</v>
      </c>
    </row>
    <row r="67" spans="2:22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U67" s="16" t="s">
        <v>19</v>
      </c>
      <c r="V67" s="11" t="s">
        <v>69</v>
      </c>
    </row>
    <row r="68" spans="2:23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W68" s="16"/>
    </row>
    <row r="69" spans="2:1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2:1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2:1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2:15"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2:15"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2:15"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2:15"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2:15"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2:15"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2:15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80" ht="22.5" spans="2:22">
      <c r="B80" s="13" t="s">
        <v>55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U80" s="16" t="s">
        <v>9</v>
      </c>
      <c r="V80" s="11" t="s">
        <v>70</v>
      </c>
    </row>
    <row r="81" spans="21:22">
      <c r="U81" s="16" t="s">
        <v>19</v>
      </c>
      <c r="V81" s="11" t="s">
        <v>71</v>
      </c>
    </row>
    <row r="82" ht="51.9" spans="2:23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W82" s="11" t="str">
        <f>_xlfn.DISPIMG("ID_50FD83ABAD844F129515C9C5DB73ADF2",1)</f>
        <v>=DISPIMG("ID_50FD83ABAD844F129515C9C5DB73ADF2",1)</v>
      </c>
    </row>
    <row r="83" spans="2:22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U83" s="16" t="s">
        <v>19</v>
      </c>
      <c r="V83" s="11" t="s">
        <v>72</v>
      </c>
    </row>
    <row r="84" spans="2:12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</row>
    <row r="85" spans="2:12"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</row>
    <row r="86" spans="2:12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</row>
    <row r="87" spans="2:12"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</row>
    <row r="88" spans="2:12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</row>
    <row r="89" spans="2:12"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</row>
    <row r="90" spans="2:12"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</row>
    <row r="91" spans="2:12"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</row>
    <row r="92" spans="2:12"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</row>
    <row r="93" spans="2:12"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</row>
    <row r="94" spans="2:12"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</row>
    <row r="95" spans="2:12"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</row>
    <row r="96" spans="2:12"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</row>
    <row r="97" spans="2:12"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</row>
    <row r="98" spans="2:12"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</row>
    <row r="99" spans="2:12"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</row>
    <row r="100" spans="2:12"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</row>
    <row r="101" spans="2:12"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</row>
    <row r="102" spans="2:12"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</row>
    <row r="104" ht="22.5" spans="2:13">
      <c r="B104" s="13" t="s">
        <v>73</v>
      </c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</row>
    <row r="105" spans="21:22">
      <c r="U105" s="16" t="s">
        <v>9</v>
      </c>
      <c r="V105" s="11" t="s">
        <v>73</v>
      </c>
    </row>
    <row r="106" spans="2:22"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U106" s="16" t="s">
        <v>19</v>
      </c>
      <c r="V106" s="11" t="s">
        <v>74</v>
      </c>
    </row>
    <row r="107" spans="2:22"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U107" s="16" t="s">
        <v>19</v>
      </c>
      <c r="V107" t="s">
        <v>75</v>
      </c>
    </row>
    <row r="108" spans="2:22"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V108" s="11" t="s">
        <v>76</v>
      </c>
    </row>
    <row r="109" spans="2:12"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</row>
    <row r="110" spans="2:12"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</row>
    <row r="111" spans="2:12"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</row>
    <row r="112" spans="2:12"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</row>
    <row r="113" spans="2:12"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</row>
    <row r="114" spans="2:12"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</row>
    <row r="115" spans="2:12"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</row>
    <row r="116" spans="2:12"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</row>
    <row r="117" spans="2:12"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</row>
    <row r="118" spans="2:12"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</row>
    <row r="119" spans="2:12"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</row>
    <row r="120" spans="2:12"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</row>
    <row r="121" spans="2:12"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</row>
    <row r="122" spans="2:12"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</row>
    <row r="123" spans="2:12"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</row>
    <row r="124" spans="2:12"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</row>
    <row r="125" spans="2:12"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</row>
    <row r="126" spans="2:12"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</row>
  </sheetData>
  <mergeCells count="11">
    <mergeCell ref="C3:H3"/>
    <mergeCell ref="B13:G13"/>
    <mergeCell ref="B50:G50"/>
    <mergeCell ref="B80:G80"/>
    <mergeCell ref="B104:G104"/>
    <mergeCell ref="A16:O42"/>
    <mergeCell ref="AD31:AE35"/>
    <mergeCell ref="AG31:AH35"/>
    <mergeCell ref="B52:O78"/>
    <mergeCell ref="B82:L102"/>
    <mergeCell ref="B106:L12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"/>
  <sheetViews>
    <sheetView workbookViewId="0">
      <selection activeCell="P34" sqref="P34"/>
    </sheetView>
  </sheetViews>
  <sheetFormatPr defaultColWidth="9" defaultRowHeight="13.5"/>
  <sheetData>
    <row r="1" s="8" customFormat="1" ht="30" customHeight="1" spans="1:36">
      <c r="A1" s="8" t="s">
        <v>77</v>
      </c>
      <c r="U1" s="9"/>
      <c r="AJ1" s="10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"/>
  <sheetViews>
    <sheetView topLeftCell="D7" workbookViewId="0">
      <selection activeCell="P7" sqref="P7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78</v>
      </c>
    </row>
    <row r="3" ht="22.5" spans="2:8">
      <c r="B3" s="4" t="s">
        <v>79</v>
      </c>
      <c r="C3" s="4"/>
      <c r="D3" s="4"/>
      <c r="E3" s="4"/>
      <c r="F3" s="4"/>
      <c r="G3" s="4"/>
      <c r="H3" s="4"/>
    </row>
    <row r="4" ht="63" customHeight="1" spans="2:19">
      <c r="B4" s="5" t="s">
        <v>80</v>
      </c>
      <c r="C4" s="5" t="s">
        <v>81</v>
      </c>
      <c r="D4" s="5" t="s">
        <v>82</v>
      </c>
      <c r="E4" s="5" t="s">
        <v>83</v>
      </c>
      <c r="F4" s="6" t="s">
        <v>84</v>
      </c>
      <c r="G4" s="6" t="s">
        <v>85</v>
      </c>
      <c r="H4" s="6" t="s">
        <v>86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87</v>
      </c>
      <c r="D5" s="5" t="s">
        <v>88</v>
      </c>
      <c r="E5" s="5"/>
      <c r="F5" s="5"/>
      <c r="G5" s="6"/>
      <c r="H5" s="6" t="str">
        <f>_xlfn.DISPIMG("ID_B008808CADD3435F89CD802E70E5A22F",1)</f>
        <v>=DISPIMG("ID_B008808CADD3435F89CD802E70E5A22F",1)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2:19">
      <c r="B6" s="5">
        <v>2</v>
      </c>
      <c r="C6" s="5" t="s">
        <v>87</v>
      </c>
      <c r="D6" s="5" t="s">
        <v>89</v>
      </c>
      <c r="E6" s="5"/>
      <c r="F6" s="5"/>
      <c r="G6" s="6"/>
      <c r="H6" s="7" t="str">
        <f>_xlfn.DISPIMG("ID_5DDF808EA93E484BA0560D26F6EADDE3",1)</f>
        <v>=DISPIMG("ID_5DDF808EA93E484BA0560D26F6EADDE3",1)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63" customHeight="1" spans="2:19">
      <c r="B7" s="5">
        <v>3</v>
      </c>
      <c r="C7" s="5" t="s">
        <v>87</v>
      </c>
      <c r="D7" s="5" t="s">
        <v>73</v>
      </c>
      <c r="E7" s="5"/>
      <c r="F7" s="5"/>
      <c r="G7" s="6"/>
      <c r="H7" s="7" t="str">
        <f>_xlfn.DISPIMG("ID_2C33BEDCD55B4D75B5B746CA906EA7E0",1)</f>
        <v>=DISPIMG("ID_2C33BEDCD55B4D75B5B746CA906EA7E0",1)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4" customHeight="1" spans="7:19"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22.5" spans="2:19">
      <c r="B9" s="4" t="s">
        <v>90</v>
      </c>
      <c r="C9" s="4"/>
      <c r="D9" s="4"/>
      <c r="E9" s="4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2:19">
      <c r="B10" s="5" t="s">
        <v>80</v>
      </c>
      <c r="C10" s="5" t="s">
        <v>81</v>
      </c>
      <c r="D10" s="5" t="s">
        <v>82</v>
      </c>
      <c r="E10" s="5" t="s">
        <v>83</v>
      </c>
      <c r="F10" s="6" t="s">
        <v>84</v>
      </c>
      <c r="G10" s="6" t="s">
        <v>85</v>
      </c>
      <c r="H10" s="6" t="s">
        <v>86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63" customHeight="1" spans="2:19">
      <c r="B11" s="5" t="s">
        <v>91</v>
      </c>
      <c r="C11" s="5"/>
      <c r="D11" s="5"/>
      <c r="E11" s="5"/>
      <c r="F11" s="5"/>
      <c r="G11" s="5"/>
      <c r="H11" s="6"/>
      <c r="L11" s="2"/>
      <c r="M11" s="2"/>
      <c r="N11" s="2"/>
      <c r="O11" s="2"/>
      <c r="P11" s="2"/>
      <c r="Q11" s="2"/>
      <c r="R11" s="2"/>
      <c r="S11" s="2"/>
    </row>
    <row r="12" ht="24" customHeight="1" spans="7:19"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22.5" spans="2:8">
      <c r="B13" s="4" t="s">
        <v>92</v>
      </c>
      <c r="C13" s="4"/>
      <c r="D13" s="4"/>
      <c r="E13" s="4"/>
      <c r="F13" s="4"/>
      <c r="G13" s="4"/>
      <c r="H13" s="4"/>
    </row>
    <row r="14" ht="63" customHeight="1" spans="2:19">
      <c r="B14" s="5" t="s">
        <v>80</v>
      </c>
      <c r="C14" s="5" t="s">
        <v>81</v>
      </c>
      <c r="D14" s="5" t="s">
        <v>93</v>
      </c>
      <c r="E14" s="5" t="s">
        <v>83</v>
      </c>
      <c r="F14" s="6" t="s">
        <v>84</v>
      </c>
      <c r="G14" s="6" t="s">
        <v>94</v>
      </c>
      <c r="H14" s="6" t="s">
        <v>86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63" customHeight="1" spans="2:19">
      <c r="B15" s="5">
        <v>1</v>
      </c>
      <c r="C15" s="5" t="s">
        <v>95</v>
      </c>
      <c r="D15" s="5"/>
      <c r="E15" s="5"/>
      <c r="F15" s="5"/>
      <c r="G15" s="5"/>
      <c r="H15" s="5"/>
      <c r="L15" s="2"/>
      <c r="M15" s="2"/>
      <c r="N15" s="2"/>
      <c r="O15" s="2"/>
      <c r="P15" s="2"/>
      <c r="Q15" s="2"/>
      <c r="R15" s="2"/>
      <c r="S15" s="2"/>
    </row>
    <row r="16" ht="73" customHeight="1" spans="2:19">
      <c r="B16" s="5">
        <v>2</v>
      </c>
      <c r="C16" s="5"/>
      <c r="D16" s="5"/>
      <c r="E16" s="5"/>
      <c r="F16" s="5"/>
      <c r="G16" s="5"/>
      <c r="H16" s="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2:8">
      <c r="B17" s="5">
        <v>3</v>
      </c>
      <c r="C17" s="5"/>
      <c r="D17" s="5"/>
      <c r="E17" s="5"/>
      <c r="F17" s="5"/>
      <c r="G17" s="5"/>
      <c r="H17" s="5"/>
    </row>
    <row r="18" ht="63" customHeight="1" spans="9:19"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="2" customFormat="1" ht="63" customHeight="1" spans="2:8">
      <c r="B19" s="4" t="s">
        <v>96</v>
      </c>
      <c r="C19" s="4"/>
      <c r="D19" s="4"/>
      <c r="E19" s="4"/>
      <c r="F19" s="4"/>
      <c r="G19" s="4"/>
      <c r="H19" s="4"/>
    </row>
    <row r="20" s="2" customFormat="1" ht="24" customHeight="1" spans="2:8">
      <c r="B20" s="5" t="s">
        <v>80</v>
      </c>
      <c r="C20" s="5" t="s">
        <v>81</v>
      </c>
      <c r="D20" s="5" t="s">
        <v>97</v>
      </c>
      <c r="E20" s="5" t="s">
        <v>83</v>
      </c>
      <c r="F20" s="6" t="s">
        <v>84</v>
      </c>
      <c r="G20" s="6" t="s">
        <v>85</v>
      </c>
      <c r="H20" s="6" t="s">
        <v>86</v>
      </c>
    </row>
    <row r="21" spans="2:8">
      <c r="B21" s="6">
        <v>1</v>
      </c>
      <c r="C21" s="6"/>
      <c r="D21" s="6"/>
      <c r="E21" s="6"/>
      <c r="F21" s="6"/>
      <c r="G21" s="6"/>
      <c r="H21" s="7"/>
    </row>
    <row r="22" ht="63" customHeight="1" spans="2:19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ht="63" customHeight="1" spans="2:19">
      <c r="B23" s="4" t="s">
        <v>98</v>
      </c>
      <c r="C23" s="4"/>
      <c r="D23" s="4"/>
      <c r="E23" s="4"/>
      <c r="F23" s="4"/>
      <c r="G23" s="4"/>
      <c r="H23" s="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2:8">
      <c r="B24" s="5" t="s">
        <v>80</v>
      </c>
      <c r="C24" s="5" t="s">
        <v>81</v>
      </c>
      <c r="D24" s="5" t="s">
        <v>82</v>
      </c>
      <c r="E24" s="5" t="s">
        <v>83</v>
      </c>
      <c r="F24" s="6" t="s">
        <v>84</v>
      </c>
      <c r="G24" s="6" t="s">
        <v>85</v>
      </c>
      <c r="H24" s="6" t="s">
        <v>86</v>
      </c>
    </row>
    <row r="25" ht="66" spans="2:8">
      <c r="B25" s="5">
        <v>1</v>
      </c>
      <c r="C25" s="6" t="s">
        <v>99</v>
      </c>
      <c r="D25" s="6" t="s">
        <v>100</v>
      </c>
      <c r="E25" s="6" t="s">
        <v>101</v>
      </c>
      <c r="F25" s="6"/>
      <c r="G25" s="6"/>
      <c r="H25" s="6" t="str">
        <f>_xlfn.DISPIMG("ID_F183F780F0B74198870C7C5665B9A9B3",1)</f>
        <v>=DISPIMG("ID_F183F780F0B74198870C7C5665B9A9B3",1)</v>
      </c>
    </row>
    <row r="26" ht="43" customHeight="1" spans="2:8">
      <c r="B26" s="5">
        <v>2</v>
      </c>
      <c r="C26" s="6" t="s">
        <v>102</v>
      </c>
      <c r="D26" s="6" t="s">
        <v>102</v>
      </c>
      <c r="E26" s="6" t="s">
        <v>101</v>
      </c>
      <c r="F26" s="6"/>
      <c r="G26" s="6"/>
      <c r="H26" s="6" t="str">
        <f>_xlfn.DISPIMG("ID_9F6A2C29253443ABAB160884CA751F77",1)</f>
        <v>=DISPIMG("ID_9F6A2C29253443ABAB160884CA751F77",1)</v>
      </c>
    </row>
  </sheetData>
  <mergeCells count="6">
    <mergeCell ref="A1:S1"/>
    <mergeCell ref="B3:H3"/>
    <mergeCell ref="B9:H9"/>
    <mergeCell ref="B13:H13"/>
    <mergeCell ref="B19:H19"/>
    <mergeCell ref="B23:H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界面&amp;功能 </vt:lpstr>
      <vt:lpstr>界面参考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2025-10-24T05:36:28Z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C7CC9D07489645129735D5E8D02C1081_13</vt:lpwstr>
  </property>
  <property fmtid="{D5CDD505-2E9C-101B-9397-08002B2CF9AE}" pid="3" name="KSOProductBuildVer">
    <vt:lpwstr>2052-12.1.0.23125</vt:lpwstr>
  </property>
  <property fmtid="{D5CDD505-2E9C-101B-9397-08002B2CF9AE}" pid="4" name="KSOReadingLayout">
    <vt:bool>true</vt:bool>
  </property>
</Properties>
</file>